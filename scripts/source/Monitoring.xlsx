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amilyoffice.sharepoint.com/sites/BFOInvestments/Shared Documents/Research/AI Program Files/Analysis in Motion/Prompt Attachments/"/>
    </mc:Choice>
  </mc:AlternateContent>
  <xr:revisionPtr revIDLastSave="25" documentId="13_ncr:1_{620C0C9B-D604-4614-8BF3-1098E60BA654}" xr6:coauthVersionLast="47" xr6:coauthVersionMax="47" xr10:uidLastSave="{6F876B6C-CF67-47F5-B645-589360522D85}"/>
  <bookViews>
    <workbookView xWindow="11808" yWindow="1272" windowWidth="19020" windowHeight="15348" xr2:uid="{3AE40EC8-BCBD-43B8-98EE-7CD5C6C5B0C8}"/>
  </bookViews>
  <sheets>
    <sheet name="New Cover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D9" i="1" s="1"/>
  <c r="E10" i="1"/>
  <c r="D10" i="1" s="1"/>
  <c r="E3" i="1"/>
  <c r="D3" i="1" s="1"/>
  <c r="E50" i="1"/>
  <c r="E49" i="1"/>
  <c r="D4" i="1"/>
  <c r="D5" i="1"/>
  <c r="D6" i="1"/>
  <c r="D7" i="1"/>
  <c r="D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18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90" i="1"/>
  <c r="E117" i="1"/>
  <c r="E84" i="1"/>
  <c r="E85" i="1"/>
  <c r="E86" i="1"/>
  <c r="E87" i="1"/>
  <c r="E88" i="1"/>
  <c r="E89" i="1"/>
  <c r="E83" i="1"/>
  <c r="E114" i="1"/>
  <c r="E115" i="1"/>
  <c r="E116" i="1"/>
  <c r="E113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51" i="1"/>
  <c r="D2" i="1"/>
  <c r="E11" i="1" l="1"/>
  <c r="D11" i="1" l="1"/>
  <c r="E12" i="1"/>
  <c r="D12" i="1" l="1"/>
  <c r="E13" i="1"/>
  <c r="D13" i="1" l="1"/>
  <c r="E14" i="1"/>
  <c r="D14" i="1" l="1"/>
  <c r="E15" i="1"/>
  <c r="E16" i="1" l="1"/>
  <c r="D15" i="1"/>
  <c r="E17" i="1" l="1"/>
  <c r="D16" i="1"/>
  <c r="E18" i="1" l="1"/>
  <c r="D17" i="1"/>
  <c r="D18" i="1" l="1"/>
  <c r="E19" i="1"/>
  <c r="D19" i="1" l="1"/>
  <c r="E20" i="1"/>
  <c r="D20" i="1" l="1"/>
  <c r="E21" i="1"/>
  <c r="D21" i="1" l="1"/>
  <c r="E22" i="1"/>
  <c r="D22" i="1" l="1"/>
  <c r="E23" i="1"/>
  <c r="D23" i="1" l="1"/>
  <c r="E24" i="1"/>
  <c r="D24" i="1" l="1"/>
  <c r="E25" i="1"/>
  <c r="D25" i="1" l="1"/>
  <c r="E26" i="1"/>
  <c r="D26" i="1" l="1"/>
  <c r="E27" i="1"/>
  <c r="E28" i="1" l="1"/>
  <c r="D27" i="1"/>
  <c r="E29" i="1" l="1"/>
  <c r="D28" i="1"/>
  <c r="E30" i="1" l="1"/>
  <c r="D29" i="1"/>
  <c r="D30" i="1" l="1"/>
  <c r="E31" i="1"/>
  <c r="D31" i="1" l="1"/>
  <c r="E32" i="1"/>
  <c r="D32" i="1" l="1"/>
  <c r="E33" i="1"/>
  <c r="E34" i="1" l="1"/>
  <c r="D33" i="1"/>
  <c r="D34" i="1" l="1"/>
  <c r="E35" i="1"/>
  <c r="D35" i="1" l="1"/>
  <c r="E36" i="1"/>
  <c r="D36" i="1" l="1"/>
  <c r="E37" i="1"/>
  <c r="D37" i="1" l="1"/>
  <c r="E38" i="1"/>
  <c r="D38" i="1" l="1"/>
  <c r="E39" i="1"/>
  <c r="E40" i="1" l="1"/>
  <c r="D39" i="1"/>
  <c r="E41" i="1" l="1"/>
  <c r="D40" i="1"/>
  <c r="E42" i="1" l="1"/>
  <c r="D41" i="1"/>
  <c r="D42" i="1" l="1"/>
  <c r="D43" i="1" l="1"/>
  <c r="D44" i="1" l="1"/>
  <c r="D45" i="1" l="1"/>
  <c r="D46" i="1" l="1"/>
  <c r="D47" i="1" l="1"/>
  <c r="D48" i="1"/>
</calcChain>
</file>

<file path=xl/sharedStrings.xml><?xml version="1.0" encoding="utf-8"?>
<sst xmlns="http://schemas.openxmlformats.org/spreadsheetml/2006/main" count="471" uniqueCount="168">
  <si>
    <t>Analyst</t>
  </si>
  <si>
    <t>Fund</t>
  </si>
  <si>
    <t>Monitoring Level</t>
  </si>
  <si>
    <t>Most Recent</t>
  </si>
  <si>
    <t>Monitoring Date</t>
  </si>
  <si>
    <t>Target Days</t>
  </si>
  <si>
    <t>MG</t>
  </si>
  <si>
    <t>Acore Opportunity Credit Fund III</t>
  </si>
  <si>
    <t>BFO - Level 1</t>
  </si>
  <si>
    <t>Appian Investments IV, LLC</t>
  </si>
  <si>
    <t>Churchill Co-Investment Partners II, LP</t>
  </si>
  <si>
    <t>Cross Ocean - US Special Situations Fund II</t>
  </si>
  <si>
    <t>Ion Pacific - Stonecutter III</t>
  </si>
  <si>
    <t>ECP Fund V</t>
  </si>
  <si>
    <t>Evolution Technology Fund III, LP</t>
  </si>
  <si>
    <t>Harbert Seniors Housing Fund II</t>
  </si>
  <si>
    <t>BFO - Level 2</t>
  </si>
  <si>
    <t>Legacy Capital Fund III</t>
  </si>
  <si>
    <t>Osage University Partners IV</t>
  </si>
  <si>
    <t>Sabal Strategic Opps II</t>
  </si>
  <si>
    <t>Pelican Energy Partners Base Zero, LP</t>
  </si>
  <si>
    <t>Spectrum Opportunity Fund II - Office RE</t>
  </si>
  <si>
    <t>View Digital Infrastructure</t>
  </si>
  <si>
    <t>Westwood Energy Secondaries Fund II</t>
  </si>
  <si>
    <t>Thora Capital Fund II, LP</t>
  </si>
  <si>
    <t>Traveller Capital Partners Fund IV</t>
  </si>
  <si>
    <t>Acore Opportunistic Credit Fund I, LP</t>
  </si>
  <si>
    <t>Appian - Primis II BMW OZ Deal</t>
  </si>
  <si>
    <t>Appian - Primis III Liberty Park OZ</t>
  </si>
  <si>
    <t>Appian Investments II, LLC</t>
  </si>
  <si>
    <t>Appian Investments III, LLC</t>
  </si>
  <si>
    <t>Brookwood US Real Estate Fund (recap stub posn)</t>
  </si>
  <si>
    <t>Courage Music Royalty Fund I</t>
  </si>
  <si>
    <t>Digital Alpha Fund II</t>
  </si>
  <si>
    <t>Evolution Technology Fund II, LP</t>
  </si>
  <si>
    <t>Falfurrias Capital Partners III</t>
  </si>
  <si>
    <t>Fulcrum Equity Partners - Growth Fund III</t>
  </si>
  <si>
    <t>Greywolf Containership Opportunity Fund I</t>
  </si>
  <si>
    <t>Greywolf Containership Opportunity Fund II</t>
  </si>
  <si>
    <t>Harbert Seniors Housing Fund I</t>
  </si>
  <si>
    <t>Harbert Stoneview Fund</t>
  </si>
  <si>
    <t>Legacy Harmony Fund II</t>
  </si>
  <si>
    <t>Morgan Capital Mgt - MetLife Building</t>
  </si>
  <si>
    <t>NanoPharmaceuticals</t>
  </si>
  <si>
    <t>Napier Park Deep Value Credit Fund III</t>
  </si>
  <si>
    <t>North Haven Energy Capital Fund I</t>
  </si>
  <si>
    <t>Osage University Partners III</t>
  </si>
  <si>
    <t>Primary Wave Music IP Fund I, LP</t>
  </si>
  <si>
    <t>Primary Wave Music IP Fund II</t>
  </si>
  <si>
    <t>Primary Wave Music IP Fund III</t>
  </si>
  <si>
    <t>Sheridan Opportunity Fund, L.P.</t>
  </si>
  <si>
    <t>Siguler Guff Brazil Special Situations - Precatorios</t>
  </si>
  <si>
    <t>Siguler Guff Precatorio Fund III</t>
  </si>
  <si>
    <t>TCA Bull, LLC</t>
  </si>
  <si>
    <t>TCA Toringdon</t>
  </si>
  <si>
    <t>Traveller Capital Partners Fund II</t>
  </si>
  <si>
    <t>Traveller Capital Partners Fund III</t>
  </si>
  <si>
    <t>Westwood Aspenleaf Energy Secondary</t>
  </si>
  <si>
    <t>Legacy Capital Fund I</t>
  </si>
  <si>
    <t>BFO - Level 3</t>
  </si>
  <si>
    <t>Multi-strategy Special Liquidating Vehicle LP - Stub</t>
  </si>
  <si>
    <t>Performance Ventures V, LP</t>
  </si>
  <si>
    <t>Salus Group</t>
  </si>
  <si>
    <t>JG</t>
  </si>
  <si>
    <t>Aetos Capital Carbon LP</t>
  </si>
  <si>
    <t>Bran Castle Fund II</t>
  </si>
  <si>
    <t>Bright Meadow Agency MBS Fund, LP</t>
  </si>
  <si>
    <t>Chatham Investment Fund VI</t>
  </si>
  <si>
    <t>Context Partners</t>
  </si>
  <si>
    <t>Ikarian Healthcare Fund, LP</t>
  </si>
  <si>
    <t>Land and Buildings</t>
  </si>
  <si>
    <t>Manole Fintech Fund</t>
  </si>
  <si>
    <t>Millstreet Credit Fund, LP</t>
  </si>
  <si>
    <t>Mycor Credit</t>
  </si>
  <si>
    <t>Octagon CLO IG Income Fund</t>
  </si>
  <si>
    <t>Old Orchard Credit Fund</t>
  </si>
  <si>
    <t>One William Street Credit Income Interval Fund - OWSCX</t>
  </si>
  <si>
    <t>Primary Wave Music IP Fund IV</t>
  </si>
  <si>
    <t>Robocap Partners Funds</t>
  </si>
  <si>
    <t>SilverArc Capital</t>
  </si>
  <si>
    <t>Blackstone Strategic Partners Fund VII</t>
  </si>
  <si>
    <t>Branford Castle Fund I</t>
  </si>
  <si>
    <t>Chatham Investment Fund IV</t>
  </si>
  <si>
    <t>Chatham Investment Fund V</t>
  </si>
  <si>
    <t>Halle Capital Management</t>
  </si>
  <si>
    <t>Measure 8ight Full Spectrum Fund, LP</t>
  </si>
  <si>
    <t>Pomona Investment Fund</t>
  </si>
  <si>
    <t>Montag &amp; Caldwell</t>
  </si>
  <si>
    <t>HF</t>
  </si>
  <si>
    <t>Artisan Developing World Fund - APHYX</t>
  </si>
  <si>
    <t>Artisan Focus Fund - APHTX</t>
  </si>
  <si>
    <t>Artisan Global Unconstrained - APHPX</t>
  </si>
  <si>
    <t>Baron Fintech Fund - BFIIX</t>
  </si>
  <si>
    <t>Colrain Value</t>
  </si>
  <si>
    <t>Eventide Healthcare and Life Sciences Fund - ETIHX</t>
  </si>
  <si>
    <t>First Eagle Credit Opportunities Fund - FECRX</t>
  </si>
  <si>
    <t>Lazard Enhanced Opportunities Fund - LEOIX</t>
  </si>
  <si>
    <t>Manning &amp; Napier High Yield Bond - MNHAX</t>
  </si>
  <si>
    <t>Nationwide Amundi Strategic Income Fund - NWXHX</t>
  </si>
  <si>
    <t>Nuveen Municipal Bond Funds</t>
  </si>
  <si>
    <t>Regan Total Return Income Fund - RCIRX</t>
  </si>
  <si>
    <t>Westchester Capital Merger Fund - MERIX</t>
  </si>
  <si>
    <t>Westwood Salient Select Income Fund - KIFYX</t>
  </si>
  <si>
    <t>Smead Value Fund - SVFFX</t>
  </si>
  <si>
    <t>Artisan International Value Fund - APHKX</t>
  </si>
  <si>
    <t>Berkshire Hathaway - BRK/B</t>
  </si>
  <si>
    <t>Clearbridge Select Fund - LCSSX</t>
  </si>
  <si>
    <t>Cohen &amp; Steers Institutional Realty Shares CSRIX</t>
  </si>
  <si>
    <t>Edgewood Growth Fund Class Institutional - EGFIX</t>
  </si>
  <si>
    <t>Federated Hermes Intermediate Corporate Bond Fund - FIIFX</t>
  </si>
  <si>
    <t>First Eagle High Yield Municipal - FEHIX</t>
  </si>
  <si>
    <t>First Trust Smart Grid Infra ETF - GRID</t>
  </si>
  <si>
    <t>Goldman Sachs GQG International Fund - GSIMX</t>
  </si>
  <si>
    <t>Goldman Sachs Taxable Fixed Income SMA</t>
  </si>
  <si>
    <t>Invesco Mid Cap Quality ETF - XMHQ</t>
  </si>
  <si>
    <t>Lord Abbett Short Duration Income Fund - LLDYX</t>
  </si>
  <si>
    <t>Marshfield Concentrated Opportunity Fund - MRFOX</t>
  </si>
  <si>
    <t>Morgan Stanley International Opportunity Portfolio - MIOIX</t>
  </si>
  <si>
    <t>PIMCO Income Fund Institutional Class - PIMIX</t>
  </si>
  <si>
    <t>Regan Mortgage-Backed Floating-Rate ETF - MBSF</t>
  </si>
  <si>
    <t>Vanguard Short-Term Federal Fund - VSGDX</t>
  </si>
  <si>
    <t>Schwab 1000 Index Fund - SNXFX</t>
  </si>
  <si>
    <t>Schwab Balanced Fund - SWOBX</t>
  </si>
  <si>
    <t>Schwab Dividend Equity Fund - SWDSX</t>
  </si>
  <si>
    <t>Schwab Opportunistic Municipal Bond Fund - SWHYX</t>
  </si>
  <si>
    <t>Schwab U.S. Aggregate Bond Index Fund - SWAGX</t>
  </si>
  <si>
    <t>KraneShares California Carbon Allowance ETF - KCCA</t>
  </si>
  <si>
    <t>Wasmer SMA</t>
  </si>
  <si>
    <t>Intern</t>
  </si>
  <si>
    <t>Charles Schwab Money Market Funds</t>
  </si>
  <si>
    <t>EM Small Cap Dividend Fund - DGS</t>
  </si>
  <si>
    <t>ETFMG Prime Mobile Payments ETF - IPAY</t>
  </si>
  <si>
    <t>First Trust Nasdaq AI and Robotics ETF - ROBT</t>
  </si>
  <si>
    <t>First Trust Preferred ETF - FPE</t>
  </si>
  <si>
    <t>GlobalX Cybersecurity ETF - BUG</t>
  </si>
  <si>
    <t>Invesco China Technology ETF - CQQQ</t>
  </si>
  <si>
    <t>Invesco Taxable Muni Bond ETF - BAB</t>
  </si>
  <si>
    <t>iShares 1-3 Yr US Treasury ETF - SHY</t>
  </si>
  <si>
    <t>iShares Aaa-A Rated Corporate Bond ETF - QLTA</t>
  </si>
  <si>
    <t>iShares California Muni Bond ETF - CMF</t>
  </si>
  <si>
    <t>iShares Core MSCI EAFE ETF - IEFA</t>
  </si>
  <si>
    <t>iShares Core S&amp;P Mid-Cap ETF - IJH</t>
  </si>
  <si>
    <t>iShares Core S&amp;P Small-Cap ETF - IJR</t>
  </si>
  <si>
    <t>iShares ESG Advanced MSCI EAFE ETF - DMXF</t>
  </si>
  <si>
    <t>iShares ESG Aware 1-5 Year USD Corporate Bond ETF - SUSB</t>
  </si>
  <si>
    <t>iShares ESG Screened S&amp;P 500 ETF - XVV</t>
  </si>
  <si>
    <t>iShares ESG Screened S&amp;P Mid-Cap ETF - XJH</t>
  </si>
  <si>
    <t>iShares ESG Screened S&amp;P Small-Cap ETF - XJR</t>
  </si>
  <si>
    <t>iShares Global Clean Energy ETF - ICLN</t>
  </si>
  <si>
    <t>iShares Gold Trust - IAU</t>
  </si>
  <si>
    <t>iShares Micro-Cap ETF - IWC</t>
  </si>
  <si>
    <t>iShares MSCI EAFE Small Cap ETF - SCZ</t>
  </si>
  <si>
    <t>iShares Nasdaq Biotechnology ETF - IBB</t>
  </si>
  <si>
    <t>iShares National Muni Bond ETF - MUB</t>
  </si>
  <si>
    <t>iShares New York Muni Bond ETF - NYF</t>
  </si>
  <si>
    <t>iShares Self-Driving EV and Tech ETF - IDRV</t>
  </si>
  <si>
    <t>Robo Global Robotics and Automation ETF - ROBO</t>
  </si>
  <si>
    <t>Schwab US TIPS ETF - SCHP</t>
  </si>
  <si>
    <t>Simplify Interest Rate Hedge ETF - PFIX</t>
  </si>
  <si>
    <t>SPDR S&amp;P 500 ETF - SPY</t>
  </si>
  <si>
    <t>SPDR S&amp;P Biotech ETF - XBI</t>
  </si>
  <si>
    <t>Sprott Physical Gold Trust - PHYS</t>
  </si>
  <si>
    <t>Van Eck Fallen Angel ETF - ANGL</t>
  </si>
  <si>
    <t>Vanguard High Dividend Yield ETF - VYM</t>
  </si>
  <si>
    <t>Vanguard Large-Cap ETF - VV</t>
  </si>
  <si>
    <t>Vanguard Real Estate ETF - VNQ</t>
  </si>
  <si>
    <t>Vanguard Short Term Corporate Bond Index Fund ETF - VCSH</t>
  </si>
  <si>
    <t>Vanguard Short-Term Bond ETF - BSV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</si>
</sst>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 applyBorder="1"/>
    <xf numFmtId="0" fontId="0" fillId="3" borderId="1" xfId="0" applyFill="1" applyBorder="1"/>
    <xf numFmtId="0" fontId="0" fillId="2" borderId="0" xfId="0" applyFill="1" applyBorder="1" applyAlignment="1">
      <alignment vertical="top"/>
    </xf>
    <xf numFmtId="0" fontId="0" fillId="0" borderId="0" xfId="0" applyBorder="1"/>
    <xf numFmtId="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531B-39BD-4919-8150-012C836922A2}">
  <dimension ref="A1:I156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34.5546875" defaultRowHeight="14.4" x14ac:dyDescent="0.3"/>
  <cols>
    <col min="1" max="1" width="7.88671875" bestFit="1" customWidth="1"/>
    <col min="2" max="2" width="45.109375" bestFit="1" customWidth="1"/>
    <col min="3" max="3" width="15.33203125" bestFit="1" customWidth="1"/>
    <col min="4" max="4" width="15.33203125" customWidth="1"/>
    <col min="5" max="5" width="14.88671875" bestFit="1" customWidth="1"/>
    <col min="6" max="6" width="11.109375" style="9" bestFit="1" customWidth="1"/>
    <col min="7" max="7" width="15.33203125" bestFit="1" customWidth="1"/>
    <col min="8" max="8" width="15.33203125" customWidth="1"/>
    <col min="9" max="9" width="14.88671875" bestFit="1" customWidth="1"/>
    <col min="10" max="10" width="53" bestFit="1" customWidth="1"/>
    <col min="11" max="11" width="15.33203125" bestFit="1" customWidth="1"/>
    <col min="12" max="12" width="15.33203125" customWidth="1"/>
    <col min="13" max="13" width="14.88671875" bestFit="1" customWidth="1"/>
    <col min="14" max="14" width="53.33203125" bestFit="1" customWidth="1"/>
    <col min="15" max="15" width="15.33203125" bestFit="1" customWidth="1"/>
    <col min="16" max="16" width="15.33203125" customWidth="1"/>
    <col min="17" max="17" width="14.88671875" bestFit="1" customWidth="1"/>
    <col min="18" max="18" width="35.44140625" bestFit="1" customWidth="1"/>
    <col min="19" max="19" width="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9" t="s">
        <v>5</v>
      </c>
    </row>
    <row r="2" spans="1:7" x14ac:dyDescent="0.3">
      <c r="A2" t="s">
        <v>6</v>
      </c>
      <c r="B2" s="1" t="s">
        <v>7</v>
      </c>
      <c r="C2" t="s">
        <v>8</v>
      </c>
      <c r="D2" s="2">
        <f>+E2-90</f>
        <v>46125</v>
      </c>
      <c r="E2" s="2">
        <v>46215</v>
      </c>
      <c r="F2" s="15">
        <v>12</v>
      </c>
      <c r="G2" s="16"/>
    </row>
    <row r="3" spans="1:7" x14ac:dyDescent="0.3">
      <c r="A3" t="s">
        <v>6</v>
      </c>
      <c r="B3" s="1" t="s">
        <v>9</v>
      </c>
      <c r="C3" t="s">
        <v>8</v>
      </c>
      <c r="D3" s="2">
        <f>+E3-90</f>
        <v>46127</v>
      </c>
      <c r="E3" s="2">
        <f>+E2+2</f>
        <v>46217</v>
      </c>
      <c r="F3" s="15">
        <v>14</v>
      </c>
    </row>
    <row r="4" spans="1:7" x14ac:dyDescent="0.3">
      <c r="A4" t="s">
        <v>6</v>
      </c>
      <c r="B4" s="1" t="s">
        <v>10</v>
      </c>
      <c r="C4" t="s">
        <v>8</v>
      </c>
      <c r="D4" s="2">
        <f>+E4-90</f>
        <v>46129</v>
      </c>
      <c r="E4" s="2">
        <f t="shared" ref="E4:E48" si="0">+E3+2</f>
        <v>46219</v>
      </c>
      <c r="F4" s="15">
        <v>16</v>
      </c>
    </row>
    <row r="5" spans="1:7" x14ac:dyDescent="0.3">
      <c r="A5" t="s">
        <v>6</v>
      </c>
      <c r="B5" s="1" t="s">
        <v>11</v>
      </c>
      <c r="C5" t="s">
        <v>8</v>
      </c>
      <c r="D5" s="2">
        <f>+E5-90</f>
        <v>46131</v>
      </c>
      <c r="E5" s="2">
        <f t="shared" si="0"/>
        <v>46221</v>
      </c>
      <c r="F5" s="15">
        <v>18</v>
      </c>
    </row>
    <row r="6" spans="1:7" x14ac:dyDescent="0.3">
      <c r="A6" t="s">
        <v>6</v>
      </c>
      <c r="B6" s="1" t="s">
        <v>12</v>
      </c>
      <c r="C6" t="s">
        <v>8</v>
      </c>
      <c r="D6" s="2">
        <f>+E6-90</f>
        <v>46133</v>
      </c>
      <c r="E6" s="2">
        <f t="shared" si="0"/>
        <v>46223</v>
      </c>
      <c r="F6" s="15">
        <v>20</v>
      </c>
    </row>
    <row r="7" spans="1:7" x14ac:dyDescent="0.3">
      <c r="A7" t="s">
        <v>6</v>
      </c>
      <c r="B7" s="1" t="s">
        <v>13</v>
      </c>
      <c r="C7" t="s">
        <v>8</v>
      </c>
      <c r="D7" s="2">
        <f>+E7-90</f>
        <v>46135</v>
      </c>
      <c r="E7" s="2">
        <f t="shared" si="0"/>
        <v>46225</v>
      </c>
      <c r="F7" s="15">
        <v>22</v>
      </c>
    </row>
    <row r="8" spans="1:7" x14ac:dyDescent="0.3">
      <c r="A8" t="s">
        <v>6</v>
      </c>
      <c r="B8" s="1" t="s">
        <v>14</v>
      </c>
      <c r="C8" t="s">
        <v>8</v>
      </c>
      <c r="D8" s="2">
        <f>+E8-90</f>
        <v>46137</v>
      </c>
      <c r="E8" s="2">
        <f t="shared" si="0"/>
        <v>46227</v>
      </c>
      <c r="F8" s="15">
        <v>24</v>
      </c>
    </row>
    <row r="9" spans="1:7" x14ac:dyDescent="0.3">
      <c r="A9" t="s">
        <v>6</v>
      </c>
      <c r="B9" s="1" t="s">
        <v>17</v>
      </c>
      <c r="C9" t="s">
        <v>8</v>
      </c>
      <c r="D9" s="2">
        <f>+E9-90</f>
        <v>46139</v>
      </c>
      <c r="E9" s="2">
        <f t="shared" si="0"/>
        <v>46229</v>
      </c>
      <c r="F9" s="15">
        <v>26</v>
      </c>
    </row>
    <row r="10" spans="1:7" x14ac:dyDescent="0.3">
      <c r="A10" t="s">
        <v>6</v>
      </c>
      <c r="B10" s="1" t="s">
        <v>18</v>
      </c>
      <c r="C10" t="s">
        <v>8</v>
      </c>
      <c r="D10" s="2">
        <f>+E10-90</f>
        <v>46141</v>
      </c>
      <c r="E10" s="2">
        <f t="shared" si="0"/>
        <v>46231</v>
      </c>
      <c r="F10" s="15">
        <v>28</v>
      </c>
    </row>
    <row r="11" spans="1:7" x14ac:dyDescent="0.3">
      <c r="A11" t="s">
        <v>6</v>
      </c>
      <c r="B11" s="1" t="s">
        <v>19</v>
      </c>
      <c r="C11" t="s">
        <v>8</v>
      </c>
      <c r="D11" s="2">
        <f>+E11-90</f>
        <v>46143</v>
      </c>
      <c r="E11" s="2">
        <f t="shared" si="0"/>
        <v>46233</v>
      </c>
      <c r="F11" s="15">
        <v>30</v>
      </c>
    </row>
    <row r="12" spans="1:7" x14ac:dyDescent="0.3">
      <c r="A12" t="s">
        <v>6</v>
      </c>
      <c r="B12" s="1" t="s">
        <v>20</v>
      </c>
      <c r="C12" t="s">
        <v>8</v>
      </c>
      <c r="D12" s="2">
        <f>+E12-90</f>
        <v>46145</v>
      </c>
      <c r="E12" s="2">
        <f t="shared" si="0"/>
        <v>46235</v>
      </c>
      <c r="F12" s="15">
        <v>32</v>
      </c>
    </row>
    <row r="13" spans="1:7" x14ac:dyDescent="0.3">
      <c r="A13" t="s">
        <v>6</v>
      </c>
      <c r="B13" s="1" t="s">
        <v>22</v>
      </c>
      <c r="C13" t="s">
        <v>8</v>
      </c>
      <c r="D13" s="2">
        <f>+E13-90</f>
        <v>46147</v>
      </c>
      <c r="E13" s="2">
        <f t="shared" si="0"/>
        <v>46237</v>
      </c>
      <c r="F13" s="15">
        <v>34</v>
      </c>
    </row>
    <row r="14" spans="1:7" x14ac:dyDescent="0.3">
      <c r="A14" t="s">
        <v>6</v>
      </c>
      <c r="B14" s="1" t="s">
        <v>23</v>
      </c>
      <c r="C14" t="s">
        <v>8</v>
      </c>
      <c r="D14" s="2">
        <f>+E14-90</f>
        <v>46149</v>
      </c>
      <c r="E14" s="2">
        <f t="shared" si="0"/>
        <v>46239</v>
      </c>
      <c r="F14" s="15">
        <v>36</v>
      </c>
    </row>
    <row r="15" spans="1:7" x14ac:dyDescent="0.3">
      <c r="A15" t="s">
        <v>6</v>
      </c>
      <c r="B15" s="1" t="s">
        <v>24</v>
      </c>
      <c r="C15" t="s">
        <v>8</v>
      </c>
      <c r="D15" s="2">
        <f>+E15-90</f>
        <v>46151</v>
      </c>
      <c r="E15" s="2">
        <f t="shared" si="0"/>
        <v>46241</v>
      </c>
      <c r="F15" s="15">
        <v>38</v>
      </c>
    </row>
    <row r="16" spans="1:7" x14ac:dyDescent="0.3">
      <c r="A16" t="s">
        <v>6</v>
      </c>
      <c r="B16" s="11" t="s">
        <v>25</v>
      </c>
      <c r="C16" s="14" t="s">
        <v>8</v>
      </c>
      <c r="D16" s="2">
        <f>+E16-90</f>
        <v>46153</v>
      </c>
      <c r="E16" s="2">
        <f t="shared" si="0"/>
        <v>46243</v>
      </c>
      <c r="F16" s="15">
        <v>40</v>
      </c>
    </row>
    <row r="17" spans="1:9" x14ac:dyDescent="0.3">
      <c r="A17" t="s">
        <v>63</v>
      </c>
      <c r="B17" s="1" t="s">
        <v>64</v>
      </c>
      <c r="C17" t="s">
        <v>8</v>
      </c>
      <c r="D17" s="2">
        <f>+E17-90</f>
        <v>46155</v>
      </c>
      <c r="E17" s="2">
        <f t="shared" si="0"/>
        <v>46245</v>
      </c>
      <c r="F17" s="15">
        <v>42</v>
      </c>
    </row>
    <row r="18" spans="1:9" ht="15" thickBot="1" x14ac:dyDescent="0.35">
      <c r="A18" t="s">
        <v>63</v>
      </c>
      <c r="B18" s="12" t="s">
        <v>65</v>
      </c>
      <c r="C18" s="12" t="s">
        <v>8</v>
      </c>
      <c r="D18" s="2">
        <f>+E18-90</f>
        <v>46157</v>
      </c>
      <c r="E18" s="2">
        <f t="shared" si="0"/>
        <v>46247</v>
      </c>
      <c r="F18" s="15">
        <v>44</v>
      </c>
    </row>
    <row r="19" spans="1:9" x14ac:dyDescent="0.3">
      <c r="A19" t="s">
        <v>63</v>
      </c>
      <c r="B19" s="1" t="s">
        <v>66</v>
      </c>
      <c r="C19" t="s">
        <v>8</v>
      </c>
      <c r="D19" s="2">
        <f>+E19-90</f>
        <v>46159</v>
      </c>
      <c r="E19" s="2">
        <f t="shared" si="0"/>
        <v>46249</v>
      </c>
      <c r="F19" s="15">
        <v>46</v>
      </c>
    </row>
    <row r="20" spans="1:9" x14ac:dyDescent="0.3">
      <c r="A20" t="s">
        <v>63</v>
      </c>
      <c r="B20" s="3" t="s">
        <v>67</v>
      </c>
      <c r="C20" s="3" t="s">
        <v>8</v>
      </c>
      <c r="D20" s="2">
        <f>+E20-90</f>
        <v>46161</v>
      </c>
      <c r="E20" s="2">
        <f t="shared" si="0"/>
        <v>46251</v>
      </c>
      <c r="F20" s="15">
        <v>48</v>
      </c>
    </row>
    <row r="21" spans="1:9" x14ac:dyDescent="0.3">
      <c r="A21" t="s">
        <v>63</v>
      </c>
      <c r="B21" s="1" t="s">
        <v>68</v>
      </c>
      <c r="C21" t="s">
        <v>8</v>
      </c>
      <c r="D21" s="2">
        <f>+E21-90</f>
        <v>46163</v>
      </c>
      <c r="E21" s="2">
        <f t="shared" si="0"/>
        <v>46253</v>
      </c>
      <c r="F21" s="15">
        <v>50</v>
      </c>
    </row>
    <row r="22" spans="1:9" x14ac:dyDescent="0.3">
      <c r="A22" t="s">
        <v>63</v>
      </c>
      <c r="B22" s="1" t="s">
        <v>69</v>
      </c>
      <c r="C22" t="s">
        <v>8</v>
      </c>
      <c r="D22" s="2">
        <f>+E22-90</f>
        <v>46165</v>
      </c>
      <c r="E22" s="2">
        <f t="shared" si="0"/>
        <v>46255</v>
      </c>
      <c r="F22" s="15">
        <v>52</v>
      </c>
    </row>
    <row r="23" spans="1:9" x14ac:dyDescent="0.3">
      <c r="A23" t="s">
        <v>63</v>
      </c>
      <c r="B23" s="4" t="s">
        <v>70</v>
      </c>
      <c r="C23" t="s">
        <v>8</v>
      </c>
      <c r="D23" s="2">
        <f>+E23-90</f>
        <v>46167</v>
      </c>
      <c r="E23" s="2">
        <f t="shared" si="0"/>
        <v>46257</v>
      </c>
      <c r="F23" s="15">
        <v>54</v>
      </c>
    </row>
    <row r="24" spans="1:9" x14ac:dyDescent="0.3">
      <c r="A24" t="s">
        <v>63</v>
      </c>
      <c r="B24" s="4" t="s">
        <v>71</v>
      </c>
      <c r="C24" t="s">
        <v>8</v>
      </c>
      <c r="D24" s="2">
        <f>+E24-90</f>
        <v>46169</v>
      </c>
      <c r="E24" s="2">
        <f t="shared" si="0"/>
        <v>46259</v>
      </c>
      <c r="F24" s="15">
        <v>56</v>
      </c>
    </row>
    <row r="25" spans="1:9" x14ac:dyDescent="0.3">
      <c r="A25" t="s">
        <v>63</v>
      </c>
      <c r="B25" s="4" t="s">
        <v>72</v>
      </c>
      <c r="C25" t="s">
        <v>8</v>
      </c>
      <c r="D25" s="2">
        <f>+E25-90</f>
        <v>46171</v>
      </c>
      <c r="E25" s="2">
        <f t="shared" si="0"/>
        <v>46261</v>
      </c>
      <c r="F25" s="15">
        <v>58</v>
      </c>
      <c r="I25" s="2"/>
    </row>
    <row r="26" spans="1:9" x14ac:dyDescent="0.3">
      <c r="A26" t="s">
        <v>63</v>
      </c>
      <c r="B26" s="1" t="s">
        <v>73</v>
      </c>
      <c r="C26" t="s">
        <v>8</v>
      </c>
      <c r="D26" s="2">
        <f>+E26-90</f>
        <v>46173</v>
      </c>
      <c r="E26" s="2">
        <f t="shared" si="0"/>
        <v>46263</v>
      </c>
      <c r="F26" s="15">
        <v>60</v>
      </c>
      <c r="I26" s="2"/>
    </row>
    <row r="27" spans="1:9" x14ac:dyDescent="0.3">
      <c r="A27" t="s">
        <v>63</v>
      </c>
      <c r="B27" s="4" t="s">
        <v>74</v>
      </c>
      <c r="C27" t="s">
        <v>8</v>
      </c>
      <c r="D27" s="2">
        <f>+E27-90</f>
        <v>46175</v>
      </c>
      <c r="E27" s="2">
        <f t="shared" si="0"/>
        <v>46265</v>
      </c>
      <c r="F27" s="15">
        <v>62</v>
      </c>
      <c r="I27" s="2"/>
    </row>
    <row r="28" spans="1:9" x14ac:dyDescent="0.3">
      <c r="A28" t="s">
        <v>63</v>
      </c>
      <c r="B28" s="1" t="s">
        <v>75</v>
      </c>
      <c r="C28" t="s">
        <v>8</v>
      </c>
      <c r="D28" s="2">
        <f>+E28-90</f>
        <v>46177</v>
      </c>
      <c r="E28" s="2">
        <f t="shared" si="0"/>
        <v>46267</v>
      </c>
      <c r="F28" s="15">
        <v>64</v>
      </c>
    </row>
    <row r="29" spans="1:9" x14ac:dyDescent="0.3">
      <c r="A29" t="s">
        <v>63</v>
      </c>
      <c r="B29" s="3" t="s">
        <v>76</v>
      </c>
      <c r="C29" s="3" t="s">
        <v>8</v>
      </c>
      <c r="D29" s="2">
        <f>+E29-90</f>
        <v>46179</v>
      </c>
      <c r="E29" s="2">
        <f t="shared" si="0"/>
        <v>46269</v>
      </c>
      <c r="F29" s="15">
        <v>66</v>
      </c>
    </row>
    <row r="30" spans="1:9" x14ac:dyDescent="0.3">
      <c r="A30" t="s">
        <v>63</v>
      </c>
      <c r="B30" s="3" t="s">
        <v>77</v>
      </c>
      <c r="C30" s="3" t="s">
        <v>8</v>
      </c>
      <c r="D30" s="2">
        <f>+E30-90</f>
        <v>46181</v>
      </c>
      <c r="E30" s="2">
        <f t="shared" si="0"/>
        <v>46271</v>
      </c>
      <c r="F30" s="15">
        <v>68</v>
      </c>
    </row>
    <row r="31" spans="1:9" x14ac:dyDescent="0.3">
      <c r="A31" t="s">
        <v>63</v>
      </c>
      <c r="B31" s="1" t="s">
        <v>78</v>
      </c>
      <c r="C31" t="s">
        <v>8</v>
      </c>
      <c r="D31" s="2">
        <f>+E31-90</f>
        <v>46183</v>
      </c>
      <c r="E31" s="2">
        <f t="shared" si="0"/>
        <v>46273</v>
      </c>
      <c r="F31" s="15">
        <v>70</v>
      </c>
    </row>
    <row r="32" spans="1:9" x14ac:dyDescent="0.3">
      <c r="A32" t="s">
        <v>63</v>
      </c>
      <c r="B32" s="11" t="s">
        <v>79</v>
      </c>
      <c r="C32" s="14" t="s">
        <v>8</v>
      </c>
      <c r="D32" s="2">
        <f>+E32-90</f>
        <v>46185</v>
      </c>
      <c r="E32" s="2">
        <f t="shared" si="0"/>
        <v>46275</v>
      </c>
      <c r="F32" s="15">
        <v>72</v>
      </c>
    </row>
    <row r="33" spans="1:9" x14ac:dyDescent="0.3">
      <c r="A33" t="s">
        <v>88</v>
      </c>
      <c r="B33" s="1" t="s">
        <v>89</v>
      </c>
      <c r="C33" t="s">
        <v>8</v>
      </c>
      <c r="D33" s="2">
        <f>+E33-90</f>
        <v>46187</v>
      </c>
      <c r="E33" s="2">
        <f t="shared" si="0"/>
        <v>46277</v>
      </c>
      <c r="F33" s="15">
        <v>74</v>
      </c>
    </row>
    <row r="34" spans="1:9" x14ac:dyDescent="0.3">
      <c r="A34" t="s">
        <v>88</v>
      </c>
      <c r="B34" s="1" t="s">
        <v>90</v>
      </c>
      <c r="C34" t="s">
        <v>8</v>
      </c>
      <c r="D34" s="2">
        <f>+E34-90</f>
        <v>46189</v>
      </c>
      <c r="E34" s="2">
        <f t="shared" si="0"/>
        <v>46279</v>
      </c>
      <c r="F34" s="15">
        <v>76</v>
      </c>
    </row>
    <row r="35" spans="1:9" x14ac:dyDescent="0.3">
      <c r="A35" t="s">
        <v>88</v>
      </c>
      <c r="B35" s="4" t="s">
        <v>91</v>
      </c>
      <c r="C35" t="s">
        <v>8</v>
      </c>
      <c r="D35" s="2">
        <f>+E35-90</f>
        <v>46191</v>
      </c>
      <c r="E35" s="2">
        <f t="shared" si="0"/>
        <v>46281</v>
      </c>
      <c r="F35" s="15">
        <v>78</v>
      </c>
    </row>
    <row r="36" spans="1:9" x14ac:dyDescent="0.3">
      <c r="A36" t="s">
        <v>88</v>
      </c>
      <c r="B36" s="4" t="s">
        <v>92</v>
      </c>
      <c r="C36" t="s">
        <v>8</v>
      </c>
      <c r="D36" s="2">
        <f>+E36-90</f>
        <v>46193</v>
      </c>
      <c r="E36" s="2">
        <f t="shared" si="0"/>
        <v>46283</v>
      </c>
      <c r="F36" s="15">
        <v>80</v>
      </c>
    </row>
    <row r="37" spans="1:9" x14ac:dyDescent="0.3">
      <c r="A37" t="s">
        <v>88</v>
      </c>
      <c r="B37" s="1" t="s">
        <v>93</v>
      </c>
      <c r="C37" t="s">
        <v>8</v>
      </c>
      <c r="D37" s="2">
        <f>+E37-90</f>
        <v>46195</v>
      </c>
      <c r="E37" s="2">
        <f t="shared" si="0"/>
        <v>46285</v>
      </c>
      <c r="F37" s="15">
        <v>82</v>
      </c>
    </row>
    <row r="38" spans="1:9" x14ac:dyDescent="0.3">
      <c r="A38" t="s">
        <v>88</v>
      </c>
      <c r="B38" s="1" t="s">
        <v>94</v>
      </c>
      <c r="C38" t="s">
        <v>8</v>
      </c>
      <c r="D38" s="2">
        <f>+E38-90</f>
        <v>46197</v>
      </c>
      <c r="E38" s="2">
        <f t="shared" si="0"/>
        <v>46287</v>
      </c>
      <c r="F38" s="15">
        <v>84</v>
      </c>
    </row>
    <row r="39" spans="1:9" x14ac:dyDescent="0.3">
      <c r="A39" t="s">
        <v>88</v>
      </c>
      <c r="B39" s="5" t="s">
        <v>95</v>
      </c>
      <c r="C39" s="3" t="s">
        <v>8</v>
      </c>
      <c r="D39" s="2">
        <f>+E39-90</f>
        <v>46199</v>
      </c>
      <c r="E39" s="2">
        <f t="shared" si="0"/>
        <v>46289</v>
      </c>
      <c r="F39" s="15">
        <v>86</v>
      </c>
    </row>
    <row r="40" spans="1:9" x14ac:dyDescent="0.3">
      <c r="A40" t="s">
        <v>88</v>
      </c>
      <c r="B40" s="4" t="s">
        <v>96</v>
      </c>
      <c r="C40" t="s">
        <v>8</v>
      </c>
      <c r="D40" s="2">
        <f>+E40-90</f>
        <v>46201</v>
      </c>
      <c r="E40" s="2">
        <f t="shared" si="0"/>
        <v>46291</v>
      </c>
      <c r="F40" s="15">
        <v>88</v>
      </c>
    </row>
    <row r="41" spans="1:9" x14ac:dyDescent="0.3">
      <c r="A41" t="s">
        <v>88</v>
      </c>
      <c r="B41" s="4" t="s">
        <v>97</v>
      </c>
      <c r="C41" t="s">
        <v>8</v>
      </c>
      <c r="D41" s="2">
        <f>+E41-90</f>
        <v>46203</v>
      </c>
      <c r="E41" s="2">
        <f t="shared" si="0"/>
        <v>46293</v>
      </c>
      <c r="F41" s="15">
        <v>90</v>
      </c>
      <c r="G41" s="10"/>
      <c r="H41" s="10"/>
      <c r="I41" s="10"/>
    </row>
    <row r="42" spans="1:9" x14ac:dyDescent="0.3">
      <c r="A42" t="s">
        <v>88</v>
      </c>
      <c r="B42" s="4" t="s">
        <v>98</v>
      </c>
      <c r="C42" t="s">
        <v>8</v>
      </c>
      <c r="D42" s="2">
        <f>+E42-90</f>
        <v>46205</v>
      </c>
      <c r="E42" s="2">
        <f t="shared" si="0"/>
        <v>46295</v>
      </c>
      <c r="F42" s="15">
        <v>90</v>
      </c>
    </row>
    <row r="43" spans="1:9" x14ac:dyDescent="0.3">
      <c r="A43" t="s">
        <v>88</v>
      </c>
      <c r="B43" s="4" t="s">
        <v>99</v>
      </c>
      <c r="C43" t="s">
        <v>8</v>
      </c>
      <c r="D43" s="2">
        <f>+E43-90</f>
        <v>46205</v>
      </c>
      <c r="E43" s="2">
        <v>46295</v>
      </c>
      <c r="F43" s="15">
        <v>90</v>
      </c>
    </row>
    <row r="44" spans="1:9" x14ac:dyDescent="0.3">
      <c r="A44" t="s">
        <v>88</v>
      </c>
      <c r="B44" s="1" t="s">
        <v>100</v>
      </c>
      <c r="C44" t="s">
        <v>8</v>
      </c>
      <c r="D44" s="2">
        <f>+E44-90</f>
        <v>46205</v>
      </c>
      <c r="E44" s="2">
        <v>46295</v>
      </c>
      <c r="F44" s="15">
        <v>90</v>
      </c>
    </row>
    <row r="45" spans="1:9" x14ac:dyDescent="0.3">
      <c r="A45" t="s">
        <v>88</v>
      </c>
      <c r="B45" s="1" t="s">
        <v>101</v>
      </c>
      <c r="C45" t="s">
        <v>8</v>
      </c>
      <c r="D45" s="2">
        <f>+E45-90</f>
        <v>46205</v>
      </c>
      <c r="E45" s="2">
        <v>46295</v>
      </c>
      <c r="F45" s="15">
        <v>90</v>
      </c>
    </row>
    <row r="46" spans="1:9" x14ac:dyDescent="0.3">
      <c r="A46" t="s">
        <v>88</v>
      </c>
      <c r="B46" s="1" t="s">
        <v>102</v>
      </c>
      <c r="C46" t="s">
        <v>8</v>
      </c>
      <c r="D46" s="2">
        <f>+E46-90</f>
        <v>46205</v>
      </c>
      <c r="E46" s="2">
        <v>46295</v>
      </c>
      <c r="F46" s="15">
        <v>90</v>
      </c>
    </row>
    <row r="47" spans="1:9" x14ac:dyDescent="0.3">
      <c r="A47" t="s">
        <v>88</v>
      </c>
      <c r="B47" s="1" t="s">
        <v>103</v>
      </c>
      <c r="C47" t="s">
        <v>8</v>
      </c>
      <c r="D47" s="2">
        <f>+E47-90</f>
        <v>46205</v>
      </c>
      <c r="E47" s="2">
        <v>46295</v>
      </c>
      <c r="F47" s="15">
        <v>90</v>
      </c>
    </row>
    <row r="48" spans="1:9" x14ac:dyDescent="0.3">
      <c r="A48" t="s">
        <v>88</v>
      </c>
      <c r="B48" s="13" t="s">
        <v>104</v>
      </c>
      <c r="C48" s="14" t="s">
        <v>8</v>
      </c>
      <c r="D48" s="2">
        <f>+E48-90</f>
        <v>46205</v>
      </c>
      <c r="E48" s="2">
        <v>46295</v>
      </c>
      <c r="F48" s="15">
        <v>90</v>
      </c>
    </row>
    <row r="49" spans="1:6" x14ac:dyDescent="0.3">
      <c r="A49" t="s">
        <v>6</v>
      </c>
      <c r="B49" s="1" t="s">
        <v>15</v>
      </c>
      <c r="C49" t="s">
        <v>16</v>
      </c>
      <c r="D49" s="2">
        <v>46022</v>
      </c>
      <c r="E49" s="2">
        <f>+D49+180</f>
        <v>46202</v>
      </c>
      <c r="F49" s="9">
        <v>5</v>
      </c>
    </row>
    <row r="50" spans="1:6" x14ac:dyDescent="0.3">
      <c r="A50" t="s">
        <v>6</v>
      </c>
      <c r="B50" s="1" t="s">
        <v>21</v>
      </c>
      <c r="C50" t="s">
        <v>16</v>
      </c>
      <c r="D50" s="2">
        <v>46022</v>
      </c>
      <c r="E50" s="2">
        <f>+D50+180</f>
        <v>46202</v>
      </c>
      <c r="F50" s="9">
        <v>6</v>
      </c>
    </row>
    <row r="51" spans="1:6" x14ac:dyDescent="0.3">
      <c r="A51" t="s">
        <v>6</v>
      </c>
      <c r="B51" s="1" t="s">
        <v>26</v>
      </c>
      <c r="C51" t="s">
        <v>16</v>
      </c>
      <c r="D51" s="2">
        <v>46022</v>
      </c>
      <c r="E51" s="2">
        <f>+D51+180</f>
        <v>46202</v>
      </c>
      <c r="F51" s="9">
        <v>7</v>
      </c>
    </row>
    <row r="52" spans="1:6" x14ac:dyDescent="0.3">
      <c r="A52" t="s">
        <v>6</v>
      </c>
      <c r="B52" s="1" t="s">
        <v>27</v>
      </c>
      <c r="C52" t="s">
        <v>16</v>
      </c>
      <c r="D52" s="2">
        <v>46022</v>
      </c>
      <c r="E52" s="2">
        <f>+D52+180</f>
        <v>46202</v>
      </c>
      <c r="F52" s="9">
        <v>8</v>
      </c>
    </row>
    <row r="53" spans="1:6" x14ac:dyDescent="0.3">
      <c r="A53" t="s">
        <v>6</v>
      </c>
      <c r="B53" s="1" t="s">
        <v>28</v>
      </c>
      <c r="C53" t="s">
        <v>16</v>
      </c>
      <c r="D53" s="2">
        <v>46022</v>
      </c>
      <c r="E53" s="2">
        <f>+D53+180</f>
        <v>46202</v>
      </c>
      <c r="F53" s="9">
        <v>9</v>
      </c>
    </row>
    <row r="54" spans="1:6" x14ac:dyDescent="0.3">
      <c r="A54" t="s">
        <v>6</v>
      </c>
      <c r="B54" s="1" t="s">
        <v>29</v>
      </c>
      <c r="C54" t="s">
        <v>16</v>
      </c>
      <c r="D54" s="2">
        <v>46022</v>
      </c>
      <c r="E54" s="2">
        <f>+D54+180</f>
        <v>46202</v>
      </c>
      <c r="F54" s="9">
        <v>10</v>
      </c>
    </row>
    <row r="55" spans="1:6" x14ac:dyDescent="0.3">
      <c r="A55" t="s">
        <v>6</v>
      </c>
      <c r="B55" s="1" t="s">
        <v>30</v>
      </c>
      <c r="C55" t="s">
        <v>16</v>
      </c>
      <c r="D55" s="2">
        <v>46022</v>
      </c>
      <c r="E55" s="2">
        <f>+D55+180</f>
        <v>46202</v>
      </c>
      <c r="F55" s="9">
        <v>11</v>
      </c>
    </row>
    <row r="56" spans="1:6" x14ac:dyDescent="0.3">
      <c r="A56" t="s">
        <v>6</v>
      </c>
      <c r="B56" s="1" t="s">
        <v>31</v>
      </c>
      <c r="C56" t="s">
        <v>16</v>
      </c>
      <c r="D56" s="2">
        <v>46022</v>
      </c>
      <c r="E56" s="2">
        <f>+D56+180</f>
        <v>46202</v>
      </c>
      <c r="F56" s="9">
        <v>12</v>
      </c>
    </row>
    <row r="57" spans="1:6" x14ac:dyDescent="0.3">
      <c r="A57" t="s">
        <v>6</v>
      </c>
      <c r="B57" s="1" t="s">
        <v>32</v>
      </c>
      <c r="C57" t="s">
        <v>16</v>
      </c>
      <c r="D57" s="2">
        <v>46022</v>
      </c>
      <c r="E57" s="2">
        <f>+D57+180</f>
        <v>46202</v>
      </c>
      <c r="F57" s="9">
        <v>13</v>
      </c>
    </row>
    <row r="58" spans="1:6" x14ac:dyDescent="0.3">
      <c r="A58" t="s">
        <v>6</v>
      </c>
      <c r="B58" s="1" t="s">
        <v>33</v>
      </c>
      <c r="C58" t="s">
        <v>16</v>
      </c>
      <c r="D58" s="2">
        <v>46022</v>
      </c>
      <c r="E58" s="2">
        <f>+D58+180</f>
        <v>46202</v>
      </c>
      <c r="F58" s="9">
        <v>14</v>
      </c>
    </row>
    <row r="59" spans="1:6" x14ac:dyDescent="0.3">
      <c r="A59" t="s">
        <v>6</v>
      </c>
      <c r="B59" s="1" t="s">
        <v>34</v>
      </c>
      <c r="C59" t="s">
        <v>16</v>
      </c>
      <c r="D59" s="2">
        <v>46022</v>
      </c>
      <c r="E59" s="2">
        <f>+D59+180</f>
        <v>46202</v>
      </c>
      <c r="F59" s="9">
        <v>15</v>
      </c>
    </row>
    <row r="60" spans="1:6" x14ac:dyDescent="0.3">
      <c r="A60" t="s">
        <v>6</v>
      </c>
      <c r="B60" s="1" t="s">
        <v>35</v>
      </c>
      <c r="C60" t="s">
        <v>16</v>
      </c>
      <c r="D60" s="2">
        <v>46022</v>
      </c>
      <c r="E60" s="2">
        <f>+D60+180</f>
        <v>46202</v>
      </c>
      <c r="F60" s="9">
        <v>16</v>
      </c>
    </row>
    <row r="61" spans="1:6" x14ac:dyDescent="0.3">
      <c r="A61" t="s">
        <v>6</v>
      </c>
      <c r="B61" s="1" t="s">
        <v>36</v>
      </c>
      <c r="C61" t="s">
        <v>16</v>
      </c>
      <c r="D61" s="2">
        <v>46022</v>
      </c>
      <c r="E61" s="2">
        <f>+D61+180</f>
        <v>46202</v>
      </c>
      <c r="F61" s="9">
        <v>17</v>
      </c>
    </row>
    <row r="62" spans="1:6" x14ac:dyDescent="0.3">
      <c r="A62" t="s">
        <v>6</v>
      </c>
      <c r="B62" s="1" t="s">
        <v>37</v>
      </c>
      <c r="C62" t="s">
        <v>16</v>
      </c>
      <c r="D62" s="2">
        <v>46022</v>
      </c>
      <c r="E62" s="2">
        <f>+D62+180</f>
        <v>46202</v>
      </c>
      <c r="F62" s="9">
        <v>18</v>
      </c>
    </row>
    <row r="63" spans="1:6" x14ac:dyDescent="0.3">
      <c r="A63" t="s">
        <v>6</v>
      </c>
      <c r="B63" s="1" t="s">
        <v>38</v>
      </c>
      <c r="C63" t="s">
        <v>16</v>
      </c>
      <c r="D63" s="2">
        <v>46022</v>
      </c>
      <c r="E63" s="2">
        <f>+D63+180</f>
        <v>46202</v>
      </c>
      <c r="F63" s="9">
        <v>19</v>
      </c>
    </row>
    <row r="64" spans="1:6" x14ac:dyDescent="0.3">
      <c r="A64" t="s">
        <v>6</v>
      </c>
      <c r="B64" s="1" t="s">
        <v>39</v>
      </c>
      <c r="C64" t="s">
        <v>16</v>
      </c>
      <c r="D64" s="2">
        <v>46022</v>
      </c>
      <c r="E64" s="2">
        <f>+D64+180</f>
        <v>46202</v>
      </c>
      <c r="F64" s="9">
        <v>20</v>
      </c>
    </row>
    <row r="65" spans="1:6" x14ac:dyDescent="0.3">
      <c r="A65" t="s">
        <v>6</v>
      </c>
      <c r="B65" s="1" t="s">
        <v>40</v>
      </c>
      <c r="C65" t="s">
        <v>16</v>
      </c>
      <c r="D65" s="2">
        <v>46022</v>
      </c>
      <c r="E65" s="2">
        <f>+D65+180</f>
        <v>46202</v>
      </c>
      <c r="F65" s="9">
        <v>21</v>
      </c>
    </row>
    <row r="66" spans="1:6" x14ac:dyDescent="0.3">
      <c r="A66" t="s">
        <v>6</v>
      </c>
      <c r="B66" s="1" t="s">
        <v>41</v>
      </c>
      <c r="C66" t="s">
        <v>16</v>
      </c>
      <c r="D66" s="2">
        <v>46022</v>
      </c>
      <c r="E66" s="2">
        <f>+D66+180</f>
        <v>46202</v>
      </c>
      <c r="F66" s="9">
        <v>22</v>
      </c>
    </row>
    <row r="67" spans="1:6" x14ac:dyDescent="0.3">
      <c r="A67" t="s">
        <v>6</v>
      </c>
      <c r="B67" s="1" t="s">
        <v>42</v>
      </c>
      <c r="C67" t="s">
        <v>16</v>
      </c>
      <c r="D67" s="2">
        <v>46022</v>
      </c>
      <c r="E67" s="2">
        <f>+D67+180</f>
        <v>46202</v>
      </c>
      <c r="F67" s="9">
        <v>23</v>
      </c>
    </row>
    <row r="68" spans="1:6" x14ac:dyDescent="0.3">
      <c r="A68" t="s">
        <v>6</v>
      </c>
      <c r="B68" s="1" t="s">
        <v>43</v>
      </c>
      <c r="C68" t="s">
        <v>16</v>
      </c>
      <c r="D68" s="2">
        <v>46022</v>
      </c>
      <c r="E68" s="2">
        <f>+D68+180</f>
        <v>46202</v>
      </c>
      <c r="F68" s="9">
        <v>24</v>
      </c>
    </row>
    <row r="69" spans="1:6" x14ac:dyDescent="0.3">
      <c r="A69" t="s">
        <v>6</v>
      </c>
      <c r="B69" s="1" t="s">
        <v>44</v>
      </c>
      <c r="C69" t="s">
        <v>16</v>
      </c>
      <c r="D69" s="2">
        <v>46022</v>
      </c>
      <c r="E69" s="2">
        <f>+D69+180</f>
        <v>46202</v>
      </c>
      <c r="F69" s="9">
        <v>25</v>
      </c>
    </row>
    <row r="70" spans="1:6" ht="15" thickBot="1" x14ac:dyDescent="0.35">
      <c r="A70" t="s">
        <v>6</v>
      </c>
      <c r="B70" s="6" t="s">
        <v>45</v>
      </c>
      <c r="C70" s="7" t="s">
        <v>16</v>
      </c>
      <c r="D70" s="2">
        <v>46022</v>
      </c>
      <c r="E70" s="2">
        <f>+D70+180</f>
        <v>46202</v>
      </c>
      <c r="F70" s="9">
        <v>26</v>
      </c>
    </row>
    <row r="71" spans="1:6" x14ac:dyDescent="0.3">
      <c r="A71" t="s">
        <v>6</v>
      </c>
      <c r="B71" s="1" t="s">
        <v>46</v>
      </c>
      <c r="C71" t="s">
        <v>16</v>
      </c>
      <c r="D71" s="2">
        <v>46022</v>
      </c>
      <c r="E71" s="2">
        <f>+D71+180</f>
        <v>46202</v>
      </c>
      <c r="F71" s="9">
        <v>27</v>
      </c>
    </row>
    <row r="72" spans="1:6" x14ac:dyDescent="0.3">
      <c r="A72" t="s">
        <v>6</v>
      </c>
      <c r="B72" s="1" t="s">
        <v>47</v>
      </c>
      <c r="C72" t="s">
        <v>16</v>
      </c>
      <c r="D72" s="2">
        <v>46022</v>
      </c>
      <c r="E72" s="2">
        <f>+D72+180</f>
        <v>46202</v>
      </c>
      <c r="F72" s="9">
        <v>28</v>
      </c>
    </row>
    <row r="73" spans="1:6" x14ac:dyDescent="0.3">
      <c r="A73" t="s">
        <v>6</v>
      </c>
      <c r="B73" s="1" t="s">
        <v>48</v>
      </c>
      <c r="C73" t="s">
        <v>16</v>
      </c>
      <c r="D73" s="2">
        <v>46022</v>
      </c>
      <c r="E73" s="2">
        <f>+D73+180</f>
        <v>46202</v>
      </c>
      <c r="F73" s="9">
        <v>29</v>
      </c>
    </row>
    <row r="74" spans="1:6" x14ac:dyDescent="0.3">
      <c r="A74" t="s">
        <v>6</v>
      </c>
      <c r="B74" s="1" t="s">
        <v>49</v>
      </c>
      <c r="C74" t="s">
        <v>16</v>
      </c>
      <c r="D74" s="2">
        <v>46022</v>
      </c>
      <c r="E74" s="2">
        <f>+D74+180</f>
        <v>46202</v>
      </c>
      <c r="F74" s="9">
        <v>30</v>
      </c>
    </row>
    <row r="75" spans="1:6" x14ac:dyDescent="0.3">
      <c r="A75" t="s">
        <v>6</v>
      </c>
      <c r="B75" s="1" t="s">
        <v>50</v>
      </c>
      <c r="C75" t="s">
        <v>16</v>
      </c>
      <c r="D75" s="2">
        <v>46022</v>
      </c>
      <c r="E75" s="2">
        <f>+D75+180</f>
        <v>46202</v>
      </c>
      <c r="F75" s="9">
        <v>31</v>
      </c>
    </row>
    <row r="76" spans="1:6" x14ac:dyDescent="0.3">
      <c r="A76" t="s">
        <v>6</v>
      </c>
      <c r="B76" s="1" t="s">
        <v>51</v>
      </c>
      <c r="C76" t="s">
        <v>16</v>
      </c>
      <c r="D76" s="2">
        <v>46022</v>
      </c>
      <c r="E76" s="2">
        <f>+D76+180</f>
        <v>46202</v>
      </c>
      <c r="F76" s="9">
        <v>32</v>
      </c>
    </row>
    <row r="77" spans="1:6" x14ac:dyDescent="0.3">
      <c r="A77" t="s">
        <v>6</v>
      </c>
      <c r="B77" s="1" t="s">
        <v>52</v>
      </c>
      <c r="C77" t="s">
        <v>16</v>
      </c>
      <c r="D77" s="2">
        <v>46022</v>
      </c>
      <c r="E77" s="2">
        <f>+D77+180</f>
        <v>46202</v>
      </c>
      <c r="F77" s="9">
        <v>33</v>
      </c>
    </row>
    <row r="78" spans="1:6" x14ac:dyDescent="0.3">
      <c r="A78" t="s">
        <v>6</v>
      </c>
      <c r="B78" s="1" t="s">
        <v>53</v>
      </c>
      <c r="C78" t="s">
        <v>16</v>
      </c>
      <c r="D78" s="2">
        <v>46022</v>
      </c>
      <c r="E78" s="2">
        <f>+D78+180</f>
        <v>46202</v>
      </c>
      <c r="F78" s="9">
        <v>34</v>
      </c>
    </row>
    <row r="79" spans="1:6" x14ac:dyDescent="0.3">
      <c r="A79" t="s">
        <v>6</v>
      </c>
      <c r="B79" s="1" t="s">
        <v>54</v>
      </c>
      <c r="C79" t="s">
        <v>16</v>
      </c>
      <c r="D79" s="2">
        <v>46022</v>
      </c>
      <c r="E79" s="2">
        <f>+D79+180</f>
        <v>46202</v>
      </c>
      <c r="F79" s="9">
        <v>35</v>
      </c>
    </row>
    <row r="80" spans="1:6" x14ac:dyDescent="0.3">
      <c r="A80" t="s">
        <v>6</v>
      </c>
      <c r="B80" s="1" t="s">
        <v>55</v>
      </c>
      <c r="C80" t="s">
        <v>16</v>
      </c>
      <c r="D80" s="2">
        <v>46022</v>
      </c>
      <c r="E80" s="2">
        <f>+D80+180</f>
        <v>46202</v>
      </c>
      <c r="F80" s="9">
        <v>36</v>
      </c>
    </row>
    <row r="81" spans="1:6" x14ac:dyDescent="0.3">
      <c r="A81" t="s">
        <v>6</v>
      </c>
      <c r="B81" s="1" t="s">
        <v>56</v>
      </c>
      <c r="C81" t="s">
        <v>16</v>
      </c>
      <c r="D81" s="2">
        <v>46022</v>
      </c>
      <c r="E81" s="2">
        <f>+D81+180</f>
        <v>46202</v>
      </c>
      <c r="F81" s="9">
        <v>37</v>
      </c>
    </row>
    <row r="82" spans="1:6" x14ac:dyDescent="0.3">
      <c r="A82" t="s">
        <v>6</v>
      </c>
      <c r="B82" s="1" t="s">
        <v>57</v>
      </c>
      <c r="C82" t="s">
        <v>16</v>
      </c>
      <c r="D82" s="2">
        <v>46022</v>
      </c>
      <c r="E82" s="2">
        <f>+D82+180</f>
        <v>46202</v>
      </c>
      <c r="F82" s="9">
        <v>38</v>
      </c>
    </row>
    <row r="83" spans="1:6" x14ac:dyDescent="0.3">
      <c r="A83" t="s">
        <v>63</v>
      </c>
      <c r="B83" s="1" t="s">
        <v>80</v>
      </c>
      <c r="C83" t="s">
        <v>16</v>
      </c>
      <c r="D83" s="2">
        <v>46022</v>
      </c>
      <c r="E83" s="2">
        <f>+D83+180</f>
        <v>46202</v>
      </c>
      <c r="F83" s="9">
        <v>39</v>
      </c>
    </row>
    <row r="84" spans="1:6" x14ac:dyDescent="0.3">
      <c r="A84" t="s">
        <v>63</v>
      </c>
      <c r="B84" s="1" t="s">
        <v>81</v>
      </c>
      <c r="C84" t="s">
        <v>16</v>
      </c>
      <c r="D84" s="2">
        <v>46022</v>
      </c>
      <c r="E84" s="2">
        <f>+D84+180</f>
        <v>46202</v>
      </c>
      <c r="F84" s="9">
        <v>40</v>
      </c>
    </row>
    <row r="85" spans="1:6" x14ac:dyDescent="0.3">
      <c r="A85" t="s">
        <v>63</v>
      </c>
      <c r="B85" s="1" t="s">
        <v>82</v>
      </c>
      <c r="C85" t="s">
        <v>16</v>
      </c>
      <c r="D85" s="2">
        <v>46022</v>
      </c>
      <c r="E85" s="2">
        <f>+D85+180</f>
        <v>46202</v>
      </c>
      <c r="F85" s="9">
        <v>41</v>
      </c>
    </row>
    <row r="86" spans="1:6" x14ac:dyDescent="0.3">
      <c r="A86" t="s">
        <v>63</v>
      </c>
      <c r="B86" s="1" t="s">
        <v>83</v>
      </c>
      <c r="C86" t="s">
        <v>16</v>
      </c>
      <c r="D86" s="2">
        <v>46022</v>
      </c>
      <c r="E86" s="2">
        <f>+D86+180</f>
        <v>46202</v>
      </c>
      <c r="F86" s="9">
        <v>42</v>
      </c>
    </row>
    <row r="87" spans="1:6" x14ac:dyDescent="0.3">
      <c r="A87" t="s">
        <v>63</v>
      </c>
      <c r="B87" s="1" t="s">
        <v>84</v>
      </c>
      <c r="C87" t="s">
        <v>16</v>
      </c>
      <c r="D87" s="2">
        <v>46022</v>
      </c>
      <c r="E87" s="2">
        <f>+D87+180</f>
        <v>46202</v>
      </c>
      <c r="F87" s="9">
        <v>43</v>
      </c>
    </row>
    <row r="88" spans="1:6" x14ac:dyDescent="0.3">
      <c r="A88" t="s">
        <v>63</v>
      </c>
      <c r="B88" s="1" t="s">
        <v>85</v>
      </c>
      <c r="C88" t="s">
        <v>16</v>
      </c>
      <c r="D88" s="2">
        <v>46022</v>
      </c>
      <c r="E88" s="2">
        <f>+D88+180</f>
        <v>46202</v>
      </c>
      <c r="F88" s="9">
        <v>44</v>
      </c>
    </row>
    <row r="89" spans="1:6" x14ac:dyDescent="0.3">
      <c r="A89" t="s">
        <v>63</v>
      </c>
      <c r="B89" s="1" t="s">
        <v>86</v>
      </c>
      <c r="C89" t="s">
        <v>16</v>
      </c>
      <c r="D89" s="2">
        <v>46022</v>
      </c>
      <c r="E89" s="2">
        <f>+D89+180</f>
        <v>46202</v>
      </c>
      <c r="F89" s="9">
        <v>45</v>
      </c>
    </row>
    <row r="90" spans="1:6" x14ac:dyDescent="0.3">
      <c r="A90" t="s">
        <v>88</v>
      </c>
      <c r="B90" s="1" t="s">
        <v>105</v>
      </c>
      <c r="C90" t="s">
        <v>16</v>
      </c>
      <c r="D90" s="2">
        <v>46022</v>
      </c>
      <c r="E90" s="2">
        <f>+D90+180</f>
        <v>46202</v>
      </c>
      <c r="F90" s="9">
        <v>46</v>
      </c>
    </row>
    <row r="91" spans="1:6" x14ac:dyDescent="0.3">
      <c r="A91" t="s">
        <v>88</v>
      </c>
      <c r="B91" s="1" t="s">
        <v>106</v>
      </c>
      <c r="C91" t="s">
        <v>16</v>
      </c>
      <c r="D91" s="2">
        <v>46022</v>
      </c>
      <c r="E91" s="2">
        <f>+D91+180</f>
        <v>46202</v>
      </c>
      <c r="F91" s="9">
        <v>47</v>
      </c>
    </row>
    <row r="92" spans="1:6" x14ac:dyDescent="0.3">
      <c r="A92" t="s">
        <v>88</v>
      </c>
      <c r="B92" s="4" t="s">
        <v>107</v>
      </c>
      <c r="C92" t="s">
        <v>16</v>
      </c>
      <c r="D92" s="2">
        <v>46022</v>
      </c>
      <c r="E92" s="2">
        <f>+D92+180</f>
        <v>46202</v>
      </c>
      <c r="F92" s="9">
        <v>48</v>
      </c>
    </row>
    <row r="93" spans="1:6" x14ac:dyDescent="0.3">
      <c r="A93" t="s">
        <v>88</v>
      </c>
      <c r="B93" s="1" t="s">
        <v>108</v>
      </c>
      <c r="C93" t="s">
        <v>16</v>
      </c>
      <c r="D93" s="2">
        <v>46022</v>
      </c>
      <c r="E93" s="2">
        <f>+D93+180</f>
        <v>46202</v>
      </c>
      <c r="F93" s="9">
        <v>49</v>
      </c>
    </row>
    <row r="94" spans="1:6" ht="15" thickBot="1" x14ac:dyDescent="0.35">
      <c r="A94" t="s">
        <v>88</v>
      </c>
      <c r="B94" s="8" t="s">
        <v>109</v>
      </c>
      <c r="C94" s="7" t="s">
        <v>16</v>
      </c>
      <c r="D94" s="2">
        <v>46022</v>
      </c>
      <c r="E94" s="2">
        <f>+D94+180</f>
        <v>46202</v>
      </c>
      <c r="F94" s="9">
        <v>50</v>
      </c>
    </row>
    <row r="95" spans="1:6" x14ac:dyDescent="0.3">
      <c r="A95" t="s">
        <v>88</v>
      </c>
      <c r="B95" s="4" t="s">
        <v>110</v>
      </c>
      <c r="C95" t="s">
        <v>16</v>
      </c>
      <c r="D95" s="2">
        <v>46022</v>
      </c>
      <c r="E95" s="2">
        <f>+D95+180</f>
        <v>46202</v>
      </c>
      <c r="F95" s="9">
        <v>51</v>
      </c>
    </row>
    <row r="96" spans="1:6" x14ac:dyDescent="0.3">
      <c r="A96" t="s">
        <v>88</v>
      </c>
      <c r="B96" s="4" t="s">
        <v>111</v>
      </c>
      <c r="C96" t="s">
        <v>16</v>
      </c>
      <c r="D96" s="2">
        <v>46022</v>
      </c>
      <c r="E96" s="2">
        <f>+D96+180</f>
        <v>46202</v>
      </c>
      <c r="F96" s="9">
        <v>52</v>
      </c>
    </row>
    <row r="97" spans="1:6" x14ac:dyDescent="0.3">
      <c r="A97" t="s">
        <v>88</v>
      </c>
      <c r="B97" s="1" t="s">
        <v>112</v>
      </c>
      <c r="C97" t="s">
        <v>16</v>
      </c>
      <c r="D97" s="2">
        <v>46022</v>
      </c>
      <c r="E97" s="2">
        <f>+D97+180</f>
        <v>46202</v>
      </c>
      <c r="F97" s="9">
        <v>53</v>
      </c>
    </row>
    <row r="98" spans="1:6" x14ac:dyDescent="0.3">
      <c r="A98" t="s">
        <v>88</v>
      </c>
      <c r="B98" s="1" t="s">
        <v>113</v>
      </c>
      <c r="C98" t="s">
        <v>16</v>
      </c>
      <c r="D98" s="2">
        <v>46022</v>
      </c>
      <c r="E98" s="2">
        <f>+D98+180</f>
        <v>46202</v>
      </c>
      <c r="F98" s="9">
        <v>54</v>
      </c>
    </row>
    <row r="99" spans="1:6" x14ac:dyDescent="0.3">
      <c r="A99" t="s">
        <v>88</v>
      </c>
      <c r="B99" s="1" t="s">
        <v>114</v>
      </c>
      <c r="C99" t="s">
        <v>16</v>
      </c>
      <c r="D99" s="2">
        <v>46022</v>
      </c>
      <c r="E99" s="2">
        <f>+D99+180</f>
        <v>46202</v>
      </c>
      <c r="F99" s="9">
        <v>55</v>
      </c>
    </row>
    <row r="100" spans="1:6" x14ac:dyDescent="0.3">
      <c r="A100" t="s">
        <v>88</v>
      </c>
      <c r="B100" s="4" t="s">
        <v>115</v>
      </c>
      <c r="C100" t="s">
        <v>16</v>
      </c>
      <c r="D100" s="2">
        <v>46022</v>
      </c>
      <c r="E100" s="2">
        <f>+D100+180</f>
        <v>46202</v>
      </c>
      <c r="F100" s="9">
        <v>56</v>
      </c>
    </row>
    <row r="101" spans="1:6" x14ac:dyDescent="0.3">
      <c r="A101" t="s">
        <v>88</v>
      </c>
      <c r="B101" s="1" t="s">
        <v>116</v>
      </c>
      <c r="C101" t="s">
        <v>16</v>
      </c>
      <c r="D101" s="2">
        <v>46022</v>
      </c>
      <c r="E101" s="2">
        <f>+D101+180</f>
        <v>46202</v>
      </c>
      <c r="F101" s="9">
        <v>57</v>
      </c>
    </row>
    <row r="102" spans="1:6" x14ac:dyDescent="0.3">
      <c r="A102" t="s">
        <v>88</v>
      </c>
      <c r="B102" s="1" t="s">
        <v>117</v>
      </c>
      <c r="C102" t="s">
        <v>16</v>
      </c>
      <c r="D102" s="2">
        <v>46022</v>
      </c>
      <c r="E102" s="2">
        <f>+D102+180</f>
        <v>46202</v>
      </c>
      <c r="F102" s="9">
        <v>58</v>
      </c>
    </row>
    <row r="103" spans="1:6" x14ac:dyDescent="0.3">
      <c r="A103" t="s">
        <v>88</v>
      </c>
      <c r="B103" s="4" t="s">
        <v>118</v>
      </c>
      <c r="C103" t="s">
        <v>16</v>
      </c>
      <c r="D103" s="2">
        <v>46022</v>
      </c>
      <c r="E103" s="2">
        <f>+D103+180</f>
        <v>46202</v>
      </c>
      <c r="F103" s="9">
        <v>59</v>
      </c>
    </row>
    <row r="104" spans="1:6" x14ac:dyDescent="0.3">
      <c r="A104" t="s">
        <v>88</v>
      </c>
      <c r="B104" s="4" t="s">
        <v>119</v>
      </c>
      <c r="C104" t="s">
        <v>16</v>
      </c>
      <c r="D104" s="2">
        <v>46022</v>
      </c>
      <c r="E104" s="2">
        <f>+D104+180</f>
        <v>46202</v>
      </c>
      <c r="F104" s="9">
        <v>60</v>
      </c>
    </row>
    <row r="105" spans="1:6" x14ac:dyDescent="0.3">
      <c r="A105" t="s">
        <v>88</v>
      </c>
      <c r="B105" s="4" t="s">
        <v>120</v>
      </c>
      <c r="C105" t="s">
        <v>16</v>
      </c>
      <c r="D105" s="2">
        <v>46022</v>
      </c>
      <c r="E105" s="2">
        <f>+D105+180</f>
        <v>46202</v>
      </c>
      <c r="F105" s="9">
        <v>61</v>
      </c>
    </row>
    <row r="106" spans="1:6" x14ac:dyDescent="0.3">
      <c r="A106" t="s">
        <v>88</v>
      </c>
      <c r="B106" s="1" t="s">
        <v>121</v>
      </c>
      <c r="C106" t="s">
        <v>16</v>
      </c>
      <c r="D106" s="2">
        <v>46022</v>
      </c>
      <c r="E106" s="2">
        <f>+D106+180</f>
        <v>46202</v>
      </c>
      <c r="F106" s="9">
        <v>62</v>
      </c>
    </row>
    <row r="107" spans="1:6" x14ac:dyDescent="0.3">
      <c r="A107" t="s">
        <v>88</v>
      </c>
      <c r="B107" s="1" t="s">
        <v>122</v>
      </c>
      <c r="C107" t="s">
        <v>16</v>
      </c>
      <c r="D107" s="2">
        <v>46022</v>
      </c>
      <c r="E107" s="2">
        <f>+D107+180</f>
        <v>46202</v>
      </c>
      <c r="F107" s="9">
        <v>63</v>
      </c>
    </row>
    <row r="108" spans="1:6" x14ac:dyDescent="0.3">
      <c r="A108" t="s">
        <v>88</v>
      </c>
      <c r="B108" s="1" t="s">
        <v>123</v>
      </c>
      <c r="C108" t="s">
        <v>16</v>
      </c>
      <c r="D108" s="2">
        <v>46022</v>
      </c>
      <c r="E108" s="2">
        <f>+D108+180</f>
        <v>46202</v>
      </c>
      <c r="F108" s="9">
        <v>64</v>
      </c>
    </row>
    <row r="109" spans="1:6" x14ac:dyDescent="0.3">
      <c r="A109" t="s">
        <v>88</v>
      </c>
      <c r="B109" s="4" t="s">
        <v>124</v>
      </c>
      <c r="C109" t="s">
        <v>16</v>
      </c>
      <c r="D109" s="2">
        <v>46022</v>
      </c>
      <c r="E109" s="2">
        <f>+D109+180</f>
        <v>46202</v>
      </c>
      <c r="F109" s="9">
        <v>65</v>
      </c>
    </row>
    <row r="110" spans="1:6" x14ac:dyDescent="0.3">
      <c r="A110" t="s">
        <v>88</v>
      </c>
      <c r="B110" s="4" t="s">
        <v>125</v>
      </c>
      <c r="C110" t="s">
        <v>16</v>
      </c>
      <c r="D110" s="2">
        <v>46022</v>
      </c>
      <c r="E110" s="2">
        <f>+D110+180</f>
        <v>46202</v>
      </c>
      <c r="F110" s="9">
        <v>66</v>
      </c>
    </row>
    <row r="111" spans="1:6" x14ac:dyDescent="0.3">
      <c r="A111" t="s">
        <v>88</v>
      </c>
      <c r="B111" s="1" t="s">
        <v>126</v>
      </c>
      <c r="C111" t="s">
        <v>16</v>
      </c>
      <c r="D111" s="2">
        <v>46022</v>
      </c>
      <c r="E111" s="2">
        <f>+D111+180</f>
        <v>46202</v>
      </c>
      <c r="F111" s="9">
        <v>67</v>
      </c>
    </row>
    <row r="112" spans="1:6" x14ac:dyDescent="0.3">
      <c r="A112" t="s">
        <v>88</v>
      </c>
      <c r="B112" s="1" t="s">
        <v>127</v>
      </c>
      <c r="C112" t="s">
        <v>16</v>
      </c>
      <c r="D112" s="2">
        <v>46022</v>
      </c>
      <c r="E112" s="2">
        <f>+D112+180</f>
        <v>46202</v>
      </c>
      <c r="F112" s="9">
        <v>68</v>
      </c>
    </row>
    <row r="113" spans="1:5" x14ac:dyDescent="0.3">
      <c r="A113" t="s">
        <v>6</v>
      </c>
      <c r="B113" s="1" t="s">
        <v>58</v>
      </c>
      <c r="C113" t="s">
        <v>59</v>
      </c>
      <c r="D113" s="2">
        <v>46022</v>
      </c>
      <c r="E113" s="2">
        <f>+D113+365</f>
        <v>46387</v>
      </c>
    </row>
    <row r="114" spans="1:5" x14ac:dyDescent="0.3">
      <c r="A114" t="s">
        <v>6</v>
      </c>
      <c r="B114" t="s">
        <v>60</v>
      </c>
      <c r="C114" t="s">
        <v>59</v>
      </c>
      <c r="D114" s="2">
        <v>46022</v>
      </c>
      <c r="E114" s="2">
        <f>+D114+365</f>
        <v>46387</v>
      </c>
    </row>
    <row r="115" spans="1:5" x14ac:dyDescent="0.3">
      <c r="A115" t="s">
        <v>6</v>
      </c>
      <c r="B115" t="s">
        <v>61</v>
      </c>
      <c r="C115" t="s">
        <v>59</v>
      </c>
      <c r="D115" s="2">
        <v>46022</v>
      </c>
      <c r="E115" s="2">
        <f>+D115+365</f>
        <v>46387</v>
      </c>
    </row>
    <row r="116" spans="1:5" x14ac:dyDescent="0.3">
      <c r="A116" t="s">
        <v>6</v>
      </c>
      <c r="B116" t="s">
        <v>62</v>
      </c>
      <c r="C116" t="s">
        <v>59</v>
      </c>
      <c r="D116" s="2">
        <v>46022</v>
      </c>
      <c r="E116" s="2">
        <f>+D116+365</f>
        <v>46387</v>
      </c>
    </row>
    <row r="117" spans="1:5" x14ac:dyDescent="0.3">
      <c r="A117" t="s">
        <v>63</v>
      </c>
      <c r="B117" s="1" t="s">
        <v>87</v>
      </c>
      <c r="C117" t="s">
        <v>59</v>
      </c>
      <c r="D117" s="2">
        <v>46022</v>
      </c>
      <c r="E117" s="2">
        <f>+D117+365</f>
        <v>46387</v>
      </c>
    </row>
    <row r="118" spans="1:5" x14ac:dyDescent="0.3">
      <c r="A118" t="s">
        <v>128</v>
      </c>
      <c r="B118" t="s">
        <v>129</v>
      </c>
      <c r="C118" t="s">
        <v>59</v>
      </c>
      <c r="D118" s="2">
        <v>46022</v>
      </c>
      <c r="E118" s="2">
        <f>+D118+365</f>
        <v>46387</v>
      </c>
    </row>
    <row r="119" spans="1:5" x14ac:dyDescent="0.3">
      <c r="A119" t="s">
        <v>128</v>
      </c>
      <c r="B119" t="s">
        <v>130</v>
      </c>
      <c r="C119" t="s">
        <v>59</v>
      </c>
      <c r="D119" s="2">
        <v>46022</v>
      </c>
      <c r="E119" s="2">
        <f>+D119+365</f>
        <v>46387</v>
      </c>
    </row>
    <row r="120" spans="1:5" x14ac:dyDescent="0.3">
      <c r="A120" t="s">
        <v>128</v>
      </c>
      <c r="B120" t="s">
        <v>131</v>
      </c>
      <c r="C120" t="s">
        <v>59</v>
      </c>
      <c r="D120" s="2">
        <v>46022</v>
      </c>
      <c r="E120" s="2">
        <f>+D120+365</f>
        <v>46387</v>
      </c>
    </row>
    <row r="121" spans="1:5" x14ac:dyDescent="0.3">
      <c r="A121" t="s">
        <v>128</v>
      </c>
      <c r="B121" t="s">
        <v>132</v>
      </c>
      <c r="C121" t="s">
        <v>59</v>
      </c>
      <c r="D121" s="2">
        <v>46022</v>
      </c>
      <c r="E121" s="2">
        <f>+D121+365</f>
        <v>46387</v>
      </c>
    </row>
    <row r="122" spans="1:5" x14ac:dyDescent="0.3">
      <c r="A122" t="s">
        <v>128</v>
      </c>
      <c r="B122" t="s">
        <v>133</v>
      </c>
      <c r="C122" t="s">
        <v>59</v>
      </c>
      <c r="D122" s="2">
        <v>46022</v>
      </c>
      <c r="E122" s="2">
        <f>+D122+365</f>
        <v>46387</v>
      </c>
    </row>
    <row r="123" spans="1:5" x14ac:dyDescent="0.3">
      <c r="A123" t="s">
        <v>128</v>
      </c>
      <c r="B123" t="s">
        <v>134</v>
      </c>
      <c r="C123" t="s">
        <v>59</v>
      </c>
      <c r="D123" s="2">
        <v>46022</v>
      </c>
      <c r="E123" s="2">
        <f>+D123+365</f>
        <v>46387</v>
      </c>
    </row>
    <row r="124" spans="1:5" x14ac:dyDescent="0.3">
      <c r="A124" t="s">
        <v>128</v>
      </c>
      <c r="B124" t="s">
        <v>135</v>
      </c>
      <c r="C124" t="s">
        <v>59</v>
      </c>
      <c r="D124" s="2">
        <v>46022</v>
      </c>
      <c r="E124" s="2">
        <f>+D124+365</f>
        <v>46387</v>
      </c>
    </row>
    <row r="125" spans="1:5" x14ac:dyDescent="0.3">
      <c r="A125" t="s">
        <v>128</v>
      </c>
      <c r="B125" t="s">
        <v>136</v>
      </c>
      <c r="C125" t="s">
        <v>59</v>
      </c>
      <c r="D125" s="2">
        <v>46022</v>
      </c>
      <c r="E125" s="2">
        <f>+D125+365</f>
        <v>46387</v>
      </c>
    </row>
    <row r="126" spans="1:5" x14ac:dyDescent="0.3">
      <c r="A126" t="s">
        <v>128</v>
      </c>
      <c r="B126" t="s">
        <v>137</v>
      </c>
      <c r="C126" t="s">
        <v>59</v>
      </c>
      <c r="D126" s="2">
        <v>46022</v>
      </c>
      <c r="E126" s="2">
        <f>+D126+365</f>
        <v>46387</v>
      </c>
    </row>
    <row r="127" spans="1:5" x14ac:dyDescent="0.3">
      <c r="A127" t="s">
        <v>128</v>
      </c>
      <c r="B127" t="s">
        <v>138</v>
      </c>
      <c r="C127" t="s">
        <v>59</v>
      </c>
      <c r="D127" s="2">
        <v>46022</v>
      </c>
      <c r="E127" s="2">
        <f>+D127+365</f>
        <v>46387</v>
      </c>
    </row>
    <row r="128" spans="1:5" x14ac:dyDescent="0.3">
      <c r="A128" t="s">
        <v>128</v>
      </c>
      <c r="B128" t="s">
        <v>139</v>
      </c>
      <c r="C128" t="s">
        <v>59</v>
      </c>
      <c r="D128" s="2">
        <v>46022</v>
      </c>
      <c r="E128" s="2">
        <f>+D128+365</f>
        <v>46387</v>
      </c>
    </row>
    <row r="129" spans="1:5" x14ac:dyDescent="0.3">
      <c r="A129" t="s">
        <v>128</v>
      </c>
      <c r="B129" t="s">
        <v>140</v>
      </c>
      <c r="C129" t="s">
        <v>59</v>
      </c>
      <c r="D129" s="2">
        <v>46022</v>
      </c>
      <c r="E129" s="2">
        <f>+D129+365</f>
        <v>46387</v>
      </c>
    </row>
    <row r="130" spans="1:5" x14ac:dyDescent="0.3">
      <c r="A130" t="s">
        <v>128</v>
      </c>
      <c r="B130" t="s">
        <v>141</v>
      </c>
      <c r="C130" t="s">
        <v>59</v>
      </c>
      <c r="D130" s="2">
        <v>46022</v>
      </c>
      <c r="E130" s="2">
        <f>+D130+365</f>
        <v>46387</v>
      </c>
    </row>
    <row r="131" spans="1:5" x14ac:dyDescent="0.3">
      <c r="A131" t="s">
        <v>128</v>
      </c>
      <c r="B131" t="s">
        <v>142</v>
      </c>
      <c r="C131" t="s">
        <v>59</v>
      </c>
      <c r="D131" s="2">
        <v>46022</v>
      </c>
      <c r="E131" s="2">
        <f>+D131+365</f>
        <v>46387</v>
      </c>
    </row>
    <row r="132" spans="1:5" x14ac:dyDescent="0.3">
      <c r="A132" t="s">
        <v>128</v>
      </c>
      <c r="B132" t="s">
        <v>143</v>
      </c>
      <c r="C132" t="s">
        <v>59</v>
      </c>
      <c r="D132" s="2">
        <v>46022</v>
      </c>
      <c r="E132" s="2">
        <f>+D132+365</f>
        <v>46387</v>
      </c>
    </row>
    <row r="133" spans="1:5" x14ac:dyDescent="0.3">
      <c r="A133" t="s">
        <v>128</v>
      </c>
      <c r="B133" t="s">
        <v>144</v>
      </c>
      <c r="C133" t="s">
        <v>59</v>
      </c>
      <c r="D133" s="2">
        <v>46022</v>
      </c>
      <c r="E133" s="2">
        <f>+D133+365</f>
        <v>46387</v>
      </c>
    </row>
    <row r="134" spans="1:5" x14ac:dyDescent="0.3">
      <c r="A134" t="s">
        <v>128</v>
      </c>
      <c r="B134" t="s">
        <v>145</v>
      </c>
      <c r="C134" t="s">
        <v>59</v>
      </c>
      <c r="D134" s="2">
        <v>46022</v>
      </c>
      <c r="E134" s="2">
        <f>+D134+365</f>
        <v>46387</v>
      </c>
    </row>
    <row r="135" spans="1:5" x14ac:dyDescent="0.3">
      <c r="A135" t="s">
        <v>128</v>
      </c>
      <c r="B135" t="s">
        <v>146</v>
      </c>
      <c r="C135" t="s">
        <v>59</v>
      </c>
      <c r="D135" s="2">
        <v>46022</v>
      </c>
      <c r="E135" s="2">
        <f>+D135+365</f>
        <v>46387</v>
      </c>
    </row>
    <row r="136" spans="1:5" x14ac:dyDescent="0.3">
      <c r="A136" t="s">
        <v>128</v>
      </c>
      <c r="B136" t="s">
        <v>147</v>
      </c>
      <c r="C136" t="s">
        <v>59</v>
      </c>
      <c r="D136" s="2">
        <v>46022</v>
      </c>
      <c r="E136" s="2">
        <f>+D136+365</f>
        <v>46387</v>
      </c>
    </row>
    <row r="137" spans="1:5" x14ac:dyDescent="0.3">
      <c r="A137" t="s">
        <v>128</v>
      </c>
      <c r="B137" t="s">
        <v>148</v>
      </c>
      <c r="C137" t="s">
        <v>59</v>
      </c>
      <c r="D137" s="2">
        <v>46022</v>
      </c>
      <c r="E137" s="2">
        <f>+D137+365</f>
        <v>46387</v>
      </c>
    </row>
    <row r="138" spans="1:5" x14ac:dyDescent="0.3">
      <c r="A138" t="s">
        <v>128</v>
      </c>
      <c r="B138" t="s">
        <v>149</v>
      </c>
      <c r="C138" t="s">
        <v>59</v>
      </c>
      <c r="D138" s="2">
        <v>46022</v>
      </c>
      <c r="E138" s="2">
        <f>+D138+365</f>
        <v>46387</v>
      </c>
    </row>
    <row r="139" spans="1:5" x14ac:dyDescent="0.3">
      <c r="A139" t="s">
        <v>128</v>
      </c>
      <c r="B139" t="s">
        <v>150</v>
      </c>
      <c r="C139" t="s">
        <v>59</v>
      </c>
      <c r="D139" s="2">
        <v>46022</v>
      </c>
      <c r="E139" s="2">
        <f>+D139+365</f>
        <v>46387</v>
      </c>
    </row>
    <row r="140" spans="1:5" x14ac:dyDescent="0.3">
      <c r="A140" t="s">
        <v>128</v>
      </c>
      <c r="B140" t="s">
        <v>151</v>
      </c>
      <c r="C140" t="s">
        <v>59</v>
      </c>
      <c r="D140" s="2">
        <v>46022</v>
      </c>
      <c r="E140" s="2">
        <f>+D140+365</f>
        <v>46387</v>
      </c>
    </row>
    <row r="141" spans="1:5" x14ac:dyDescent="0.3">
      <c r="A141" t="s">
        <v>128</v>
      </c>
      <c r="B141" t="s">
        <v>152</v>
      </c>
      <c r="C141" t="s">
        <v>59</v>
      </c>
      <c r="D141" s="2">
        <v>46022</v>
      </c>
      <c r="E141" s="2">
        <f>+D141+365</f>
        <v>46387</v>
      </c>
    </row>
    <row r="142" spans="1:5" x14ac:dyDescent="0.3">
      <c r="A142" t="s">
        <v>128</v>
      </c>
      <c r="B142" t="s">
        <v>153</v>
      </c>
      <c r="C142" t="s">
        <v>59</v>
      </c>
      <c r="D142" s="2">
        <v>46022</v>
      </c>
      <c r="E142" s="2">
        <f>+D142+365</f>
        <v>46387</v>
      </c>
    </row>
    <row r="143" spans="1:5" x14ac:dyDescent="0.3">
      <c r="A143" t="s">
        <v>128</v>
      </c>
      <c r="B143" t="s">
        <v>154</v>
      </c>
      <c r="C143" t="s">
        <v>59</v>
      </c>
      <c r="D143" s="2">
        <v>46022</v>
      </c>
      <c r="E143" s="2">
        <f>+D143+365</f>
        <v>46387</v>
      </c>
    </row>
    <row r="144" spans="1:5" x14ac:dyDescent="0.3">
      <c r="A144" t="s">
        <v>128</v>
      </c>
      <c r="B144" t="s">
        <v>155</v>
      </c>
      <c r="C144" t="s">
        <v>59</v>
      </c>
      <c r="D144" s="2">
        <v>46022</v>
      </c>
      <c r="E144" s="2">
        <f>+D144+365</f>
        <v>46387</v>
      </c>
    </row>
    <row r="145" spans="1:5" x14ac:dyDescent="0.3">
      <c r="A145" t="s">
        <v>128</v>
      </c>
      <c r="B145" t="s">
        <v>156</v>
      </c>
      <c r="C145" t="s">
        <v>59</v>
      </c>
      <c r="D145" s="2">
        <v>46022</v>
      </c>
      <c r="E145" s="2">
        <f>+D145+365</f>
        <v>46387</v>
      </c>
    </row>
    <row r="146" spans="1:5" x14ac:dyDescent="0.3">
      <c r="A146" t="s">
        <v>128</v>
      </c>
      <c r="B146" t="s">
        <v>157</v>
      </c>
      <c r="C146" t="s">
        <v>59</v>
      </c>
      <c r="D146" s="2">
        <v>46022</v>
      </c>
      <c r="E146" s="2">
        <f>+D146+365</f>
        <v>46387</v>
      </c>
    </row>
    <row r="147" spans="1:5" x14ac:dyDescent="0.3">
      <c r="A147" t="s">
        <v>128</v>
      </c>
      <c r="B147" t="s">
        <v>158</v>
      </c>
      <c r="C147" t="s">
        <v>59</v>
      </c>
      <c r="D147" s="2">
        <v>46022</v>
      </c>
      <c r="E147" s="2">
        <f>+D147+365</f>
        <v>46387</v>
      </c>
    </row>
    <row r="148" spans="1:5" x14ac:dyDescent="0.3">
      <c r="A148" t="s">
        <v>128</v>
      </c>
      <c r="B148" t="s">
        <v>159</v>
      </c>
      <c r="C148" t="s">
        <v>59</v>
      </c>
      <c r="D148" s="2">
        <v>46022</v>
      </c>
      <c r="E148" s="2">
        <f>+D148+365</f>
        <v>46387</v>
      </c>
    </row>
    <row r="149" spans="1:5" x14ac:dyDescent="0.3">
      <c r="A149" t="s">
        <v>128</v>
      </c>
      <c r="B149" t="s">
        <v>160</v>
      </c>
      <c r="C149" t="s">
        <v>59</v>
      </c>
      <c r="D149" s="2">
        <v>46022</v>
      </c>
      <c r="E149" s="2">
        <f>+D149+365</f>
        <v>46387</v>
      </c>
    </row>
    <row r="150" spans="1:5" x14ac:dyDescent="0.3">
      <c r="A150" t="s">
        <v>128</v>
      </c>
      <c r="B150" t="s">
        <v>161</v>
      </c>
      <c r="C150" t="s">
        <v>59</v>
      </c>
      <c r="D150" s="2">
        <v>46022</v>
      </c>
      <c r="E150" s="2">
        <f>+D150+365</f>
        <v>46387</v>
      </c>
    </row>
    <row r="151" spans="1:5" x14ac:dyDescent="0.3">
      <c r="A151" t="s">
        <v>128</v>
      </c>
      <c r="B151" t="s">
        <v>162</v>
      </c>
      <c r="C151" t="s">
        <v>59</v>
      </c>
      <c r="D151" s="2">
        <v>46022</v>
      </c>
      <c r="E151" s="2">
        <f>+D151+365</f>
        <v>46387</v>
      </c>
    </row>
    <row r="152" spans="1:5" x14ac:dyDescent="0.3">
      <c r="A152" t="s">
        <v>128</v>
      </c>
      <c r="B152" t="s">
        <v>163</v>
      </c>
      <c r="C152" t="s">
        <v>59</v>
      </c>
      <c r="D152" s="2">
        <v>46022</v>
      </c>
      <c r="E152" s="2">
        <f>+D152+365</f>
        <v>46387</v>
      </c>
    </row>
    <row r="153" spans="1:5" x14ac:dyDescent="0.3">
      <c r="A153" t="s">
        <v>128</v>
      </c>
      <c r="B153" t="s">
        <v>164</v>
      </c>
      <c r="C153" t="s">
        <v>59</v>
      </c>
      <c r="D153" s="2">
        <v>46022</v>
      </c>
      <c r="E153" s="2">
        <f>+D153+365</f>
        <v>46387</v>
      </c>
    </row>
    <row r="154" spans="1:5" x14ac:dyDescent="0.3">
      <c r="A154" t="s">
        <v>128</v>
      </c>
      <c r="B154" t="s">
        <v>165</v>
      </c>
      <c r="C154" t="s">
        <v>59</v>
      </c>
      <c r="D154" s="2">
        <v>46022</v>
      </c>
      <c r="E154" s="2">
        <f>+D154+365</f>
        <v>46387</v>
      </c>
    </row>
    <row r="155" spans="1:5" x14ac:dyDescent="0.3">
      <c r="A155" t="s">
        <v>128</v>
      </c>
      <c r="B155" t="s">
        <v>166</v>
      </c>
      <c r="C155" t="s">
        <v>59</v>
      </c>
      <c r="D155" s="2">
        <v>46022</v>
      </c>
      <c r="E155" s="2">
        <f>+D155+365</f>
        <v>46387</v>
      </c>
    </row>
    <row r="156" spans="1:5" x14ac:dyDescent="0.3">
      <c r="A156" t="s">
        <v>128</v>
      </c>
      <c r="B156" t="s">
        <v>167</v>
      </c>
      <c r="C156" t="s">
        <v>59</v>
      </c>
      <c r="D156" s="2">
        <v>46022</v>
      </c>
      <c r="E156" s="2">
        <f>+D156+365</f>
        <v>46387</v>
      </c>
    </row>
  </sheetData>
  <sortState xmlns:xlrd2="http://schemas.microsoft.com/office/spreadsheetml/2017/richdata2" ref="A2:F156">
    <sortCondition ref="C2:C156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01D85A9FAD0478126A2B2649C9AB7" ma:contentTypeVersion="19" ma:contentTypeDescription="Create a new document." ma:contentTypeScope="" ma:versionID="e5425b845810d6d78df754af30fd5a4e">
  <xsd:schema xmlns:xsd="http://www.w3.org/2001/XMLSchema" xmlns:xs="http://www.w3.org/2001/XMLSchema" xmlns:p="http://schemas.microsoft.com/office/2006/metadata/properties" xmlns:ns2="a2e177f8-b4cd-4d50-a913-9ba21308313f" xmlns:ns3="d7681a4e-4dc4-4216-b9f4-217c687f6376" targetNamespace="http://schemas.microsoft.com/office/2006/metadata/properties" ma:root="true" ma:fieldsID="965c087548b4d1a024648b66efa40b39" ns2:_="" ns3:_="">
    <xsd:import namespace="a2e177f8-b4cd-4d50-a913-9ba21308313f"/>
    <xsd:import namespace="d7681a4e-4dc4-4216-b9f4-217c687f6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ContactName" minOccurs="0"/>
                <xsd:element ref="ns2:ContactEmail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177f8-b4cd-4d50-a913-9ba2130831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ntactName" ma:index="17" nillable="true" ma:displayName="Contact Name" ma:format="Dropdown" ma:internalName="ContactName">
      <xsd:simpleType>
        <xsd:restriction base="dms:Text">
          <xsd:maxLength value="255"/>
        </xsd:restriction>
      </xsd:simpleType>
    </xsd:element>
    <xsd:element name="ContactEmail" ma:index="18" nillable="true" ma:displayName="Contact Email" ma:format="Dropdown" ma:internalName="ContactEmail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d194c2-f907-48d4-9ba6-cba7e33b1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81a4e-4dc4-4216-b9f4-217c687f63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4b5195-d8d9-4a39-9417-803e6b4cf071}" ma:internalName="TaxCatchAll" ma:showField="CatchAllData" ma:web="d7681a4e-4dc4-4216-b9f4-217c687f6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actName xmlns="a2e177f8-b4cd-4d50-a913-9ba21308313f" xsi:nil="true"/>
    <ContactEmail xmlns="a2e177f8-b4cd-4d50-a913-9ba21308313f" xsi:nil="true"/>
    <lcf76f155ced4ddcb4097134ff3c332f xmlns="a2e177f8-b4cd-4d50-a913-9ba21308313f">
      <Terms xmlns="http://schemas.microsoft.com/office/infopath/2007/PartnerControls"/>
    </lcf76f155ced4ddcb4097134ff3c332f>
    <TaxCatchAll xmlns="d7681a4e-4dc4-4216-b9f4-217c687f6376" xsi:nil="true"/>
  </documentManagement>
</p:properties>
</file>

<file path=customXml/itemProps1.xml><?xml version="1.0" encoding="utf-8"?>
<ds:datastoreItem xmlns:ds="http://schemas.openxmlformats.org/officeDocument/2006/customXml" ds:itemID="{6F34001C-2B0F-4AEC-9B93-D4036F77F3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5D760A-1DAE-4DE8-9A17-6F65CDC61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e177f8-b4cd-4d50-a913-9ba21308313f"/>
    <ds:schemaRef ds:uri="d7681a4e-4dc4-4216-b9f4-217c687f6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2776F2-403F-4BF7-9989-61707FB079EF}">
  <ds:schemaRefs>
    <ds:schemaRef ds:uri="http://schemas.microsoft.com/office/2006/metadata/properties"/>
    <ds:schemaRef ds:uri="http://schemas.microsoft.com/office/infopath/2007/PartnerControls"/>
    <ds:schemaRef ds:uri="a2e177f8-b4cd-4d50-a913-9ba21308313f"/>
    <ds:schemaRef ds:uri="d7681a4e-4dc4-4216-b9f4-217c687f63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Gregory</dc:creator>
  <cp:keywords/>
  <dc:description/>
  <cp:lastModifiedBy>Mike Gregory</cp:lastModifiedBy>
  <cp:revision/>
  <dcterms:created xsi:type="dcterms:W3CDTF">2026-05-12T18:39:10Z</dcterms:created>
  <dcterms:modified xsi:type="dcterms:W3CDTF">2026-06-11T16:28:47Z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0x01010034D01D85A9FAD0478126A2B2649C9AB7</vt:lpwstr>
  </property>
  <property fmtid="{D5CDD505-2E9C-101B-9397-08002B2CF9AE}" pid="3" name="MediaServiceImageTags">
    <vt:lpwstr/>
  </property>
</Properties>
</file>