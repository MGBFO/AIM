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familyoffice-my.sharepoint.com/personal/mgregory_biltmorefamilyoffice_com/Documents/Desktop/"/>
    </mc:Choice>
  </mc:AlternateContent>
  <xr:revisionPtr revIDLastSave="0" documentId="14_{64FFA076-39D5-40D9-A565-ACF58D097109}" xr6:coauthVersionLast="47" xr6:coauthVersionMax="47" xr10:uidLastSave="{00000000-0000-0000-0000-000000000000}"/>
  <bookViews>
    <workbookView xWindow="11508" yWindow="0" windowWidth="19176" windowHeight="16656" xr2:uid="{3D75514D-8834-42E6-AED5-5347433D18B9}"/>
  </bookViews>
  <sheets>
    <sheet name="Conferences &amp; Tri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 Gregory</author>
  </authors>
  <commentList>
    <comment ref="H1" authorId="0" shapeId="0" xr:uid="{1DD8ED19-D081-4EDB-B82C-1CD657A48546}">
      <text>
        <r>
          <rPr>
            <b/>
            <sz val="9"/>
            <color indexed="81"/>
            <rFont val="Tahoma"/>
            <family val="2"/>
          </rPr>
          <t>Mike Gregory:</t>
        </r>
        <r>
          <rPr>
            <sz val="9"/>
            <color indexed="81"/>
            <rFont val="Tahoma"/>
            <family val="2"/>
          </rPr>
          <t xml:space="preserve">
Per person for the full trip.</t>
        </r>
      </text>
    </comment>
  </commentList>
</comments>
</file>

<file path=xl/sharedStrings.xml><?xml version="1.0" encoding="utf-8"?>
<sst xmlns="http://schemas.openxmlformats.org/spreadsheetml/2006/main" count="756" uniqueCount="343">
  <si>
    <t>Date</t>
  </si>
  <si>
    <t>City</t>
  </si>
  <si>
    <t>Monitoring Visits</t>
  </si>
  <si>
    <t>Event/Conference</t>
  </si>
  <si>
    <t>Flight</t>
  </si>
  <si>
    <t>Hotel</t>
  </si>
  <si>
    <t>Car</t>
  </si>
  <si>
    <t>Dallas</t>
  </si>
  <si>
    <t>Ikarian, Harbert, Traveller, Regan, Faraday</t>
  </si>
  <si>
    <t>MFO Breakfest</t>
  </si>
  <si>
    <t>Booked</t>
  </si>
  <si>
    <t>Cary, NC</t>
  </si>
  <si>
    <t>Nationwide</t>
  </si>
  <si>
    <t>The Investment Forum</t>
  </si>
  <si>
    <t>NWXHX, JJ Pinto</t>
  </si>
  <si>
    <t>Chicago</t>
  </si>
  <si>
    <t>Shorepath</t>
  </si>
  <si>
    <t>TABOR (reimbursed)</t>
  </si>
  <si>
    <t>Chatham</t>
  </si>
  <si>
    <t>NYC</t>
  </si>
  <si>
    <t>Broadway onsite, Stoneview, One68, Evolution</t>
  </si>
  <si>
    <t>Bran Castle Annual Meeting
Hadestown</t>
  </si>
  <si>
    <t>StoneView</t>
  </si>
  <si>
    <t>Atlanta</t>
  </si>
  <si>
    <t>Chatham Annual Conference</t>
  </si>
  <si>
    <t>Pomona</t>
  </si>
  <si>
    <t>Orchard, North Haven, Sig Guff, One68, BranC, Lazard, PW, Evolution, Galton, Napier, Focus</t>
  </si>
  <si>
    <t>L&amp;B Dinner (Sparks)</t>
  </si>
  <si>
    <t>Greenville, SC</t>
  </si>
  <si>
    <t>Appian</t>
  </si>
  <si>
    <t>Uptown CLT</t>
  </si>
  <si>
    <t>Barings</t>
  </si>
  <si>
    <t>Barclay's</t>
  </si>
  <si>
    <t>Miami</t>
  </si>
  <si>
    <t>I-Connections</t>
  </si>
  <si>
    <t>Baview</t>
  </si>
  <si>
    <t>TBD</t>
  </si>
  <si>
    <t>Spectrum - Vantage site visit</t>
  </si>
  <si>
    <t>Philly/DC</t>
  </si>
  <si>
    <t>Osage Annual Event, 1pm</t>
  </si>
  <si>
    <t>Guardian Global, DC</t>
  </si>
  <si>
    <t>Asheville</t>
  </si>
  <si>
    <t>BFO TEAM</t>
  </si>
  <si>
    <t>Cecil to plan</t>
  </si>
  <si>
    <t>Artisan Partners Investment Forum (4th)
10 Private Equity Forum (4th&amp;5th)</t>
  </si>
  <si>
    <t>Planning Phase; only need to attend Day 2
Roska attending</t>
  </si>
  <si>
    <t>-</t>
  </si>
  <si>
    <t>CLT</t>
  </si>
  <si>
    <t>CFA Dinner</t>
  </si>
  <si>
    <t>Academy for Institutional Investors</t>
  </si>
  <si>
    <t>Manhattan, KS</t>
  </si>
  <si>
    <t>No Stone Charity Event</t>
  </si>
  <si>
    <t>Newport RI</t>
  </si>
  <si>
    <t>Titan Investors Global Business Connections</t>
  </si>
  <si>
    <t>Speaking Engagment</t>
  </si>
  <si>
    <t>Shorepath, Nuveen, Thora, First Eagle, River North?,
Driehaus</t>
  </si>
  <si>
    <t>Market Group PE Conference 8/23</t>
  </si>
  <si>
    <t>Uhlman Price (Broadway Broker)</t>
  </si>
  <si>
    <t>Salt Lake, UT</t>
  </si>
  <si>
    <t>Pete (1st timer)</t>
  </si>
  <si>
    <t>Wasach, Clifford</t>
  </si>
  <si>
    <t>Acore Annual Event
Noon-6pm</t>
  </si>
  <si>
    <t>Mason Group, L&amp;B Lunch</t>
  </si>
  <si>
    <t>Northern CA</t>
  </si>
  <si>
    <t>KIFYX, Artisan, Digital Alpha, ACORE, GW Shipping</t>
  </si>
  <si>
    <t>Bran Castle Annual Event
+6 managers</t>
  </si>
  <si>
    <t>Palm Beach, FL</t>
  </si>
  <si>
    <t>Tabor</t>
  </si>
  <si>
    <t>CT/HPN</t>
  </si>
  <si>
    <t>L&amp;B, MERIX, GW HQ, Context</t>
  </si>
  <si>
    <t>Soleus Capital</t>
  </si>
  <si>
    <t>Emma</t>
  </si>
  <si>
    <t>Ikarian, Traveller, Regan</t>
  </si>
  <si>
    <t>Regan Annual Event</t>
  </si>
  <si>
    <t>Harbert Annual Event</t>
  </si>
  <si>
    <t>11/29 building tour at 1:15pm
11/30 ends at 3:45pm</t>
  </si>
  <si>
    <t>Southern CA</t>
  </si>
  <si>
    <t>Pete</t>
  </si>
  <si>
    <t>RAAIX</t>
  </si>
  <si>
    <t>PIMCO</t>
  </si>
  <si>
    <t xml:space="preserve">11/30 PIMCO dinner 5pm </t>
  </si>
  <si>
    <t>NYC/BOS</t>
  </si>
  <si>
    <t>Nationwide, Eventide</t>
  </si>
  <si>
    <t>Evolution Annual Event</t>
  </si>
  <si>
    <t>London</t>
  </si>
  <si>
    <t>Team</t>
  </si>
  <si>
    <t>Robocap (Visiting CLT 1/4)</t>
  </si>
  <si>
    <t>Nuveen, Blue Owl</t>
  </si>
  <si>
    <t>iConnections</t>
  </si>
  <si>
    <t>Tampa</t>
  </si>
  <si>
    <t>Emma/Jason/Frank</t>
  </si>
  <si>
    <t>Manole</t>
  </si>
  <si>
    <t>Miami, FL</t>
  </si>
  <si>
    <t>First Eagle DD Conference</t>
  </si>
  <si>
    <t>Blue Owl Event</t>
  </si>
  <si>
    <t>Nashville</t>
  </si>
  <si>
    <t>First Trust PE Conference</t>
  </si>
  <si>
    <t>Regan? Ikarian?</t>
  </si>
  <si>
    <t>Traveller Annual Event</t>
  </si>
  <si>
    <t>View Cap?, James Gorski?
Recurring Capital?</t>
  </si>
  <si>
    <t>NYC - CLIENT</t>
  </si>
  <si>
    <t>Philly/Nashville</t>
  </si>
  <si>
    <t>Osage Annual Event, 1pm
Tabor</t>
  </si>
  <si>
    <t>Lazard</t>
  </si>
  <si>
    <t>Siguler Guff Annual Event</t>
  </si>
  <si>
    <t>Chuck-Town</t>
  </si>
  <si>
    <t>Baron, C&amp;S</t>
  </si>
  <si>
    <t>Artisan Investment Forum 2023</t>
  </si>
  <si>
    <t>HPN</t>
  </si>
  <si>
    <t>Cross Ocean DD</t>
  </si>
  <si>
    <t>ATL</t>
  </si>
  <si>
    <t>Kelsey</t>
  </si>
  <si>
    <t>Chatham, Fulcrum</t>
  </si>
  <si>
    <t>TII</t>
  </si>
  <si>
    <t>Blue Owl</t>
  </si>
  <si>
    <t>Spectrum</t>
  </si>
  <si>
    <t>Ryan</t>
  </si>
  <si>
    <t>Nuveen Intern Day</t>
  </si>
  <si>
    <t>Boston</t>
  </si>
  <si>
    <t>Goldman Conference</t>
  </si>
  <si>
    <t>Complete</t>
  </si>
  <si>
    <t>Shorepath, Nuveen, Thora, First Eagle</t>
  </si>
  <si>
    <t>Hotel &amp; Flights booked</t>
  </si>
  <si>
    <t>Pinehurst, NC</t>
  </si>
  <si>
    <t>Nuveen Executive RIA Alts Conference</t>
  </si>
  <si>
    <t>Austin</t>
  </si>
  <si>
    <t>Citywire</t>
  </si>
  <si>
    <t>Ikarian, Regan</t>
  </si>
  <si>
    <t>OWS</t>
  </si>
  <si>
    <t>Barclay's HF Symposium
Acore Annual Meeting</t>
  </si>
  <si>
    <t>BOS</t>
  </si>
  <si>
    <t>Eventide, SilverArc</t>
  </si>
  <si>
    <t>Millstreet</t>
  </si>
  <si>
    <t>GQG</t>
  </si>
  <si>
    <t>BofA Global Alts Forum</t>
  </si>
  <si>
    <t>Air and hotel booked</t>
  </si>
  <si>
    <t>Chapel Hill</t>
  </si>
  <si>
    <t>Driving, hotel booked</t>
  </si>
  <si>
    <t>Bran Castle Annual Event (10/25)
ECP Investor's Mtg (10/26)</t>
  </si>
  <si>
    <t>ECP is entire day
Hotel &amp; Flight Booked</t>
  </si>
  <si>
    <t>L&amp;B, MERIX, GW HQ, Context, Cross Ocean</t>
  </si>
  <si>
    <t>Sabal</t>
  </si>
  <si>
    <t>Orchard, Sig Guff, BranC, PW, Evolution, B Meadow, Napier, Aetos, OWS?, Baron, Acore</t>
  </si>
  <si>
    <t>Vantage booked
Scott Wallace is booked</t>
  </si>
  <si>
    <t>MG/Pete</t>
  </si>
  <si>
    <t>Houston</t>
  </si>
  <si>
    <t>MG</t>
  </si>
  <si>
    <t>Pelican DD</t>
  </si>
  <si>
    <t>Orlando</t>
  </si>
  <si>
    <t>GS Emerging Managers</t>
  </si>
  <si>
    <t>Register by Feb 14th</t>
  </si>
  <si>
    <t>Graham/Ian/Farrell to join</t>
  </si>
  <si>
    <t>Charleston</t>
  </si>
  <si>
    <t>Ashville</t>
  </si>
  <si>
    <t>Siguler Guff Annual Event overlaps</t>
  </si>
  <si>
    <t>Kelsey/Drew</t>
  </si>
  <si>
    <t>Lazard, OWS</t>
  </si>
  <si>
    <t>2</t>
  </si>
  <si>
    <t>Regan, Ikarian, Harbert, Westwood</t>
  </si>
  <si>
    <t>1</t>
  </si>
  <si>
    <t>AJ, Matt</t>
  </si>
  <si>
    <t>Nationwide, SilverArc, Millstreet, Eventide</t>
  </si>
  <si>
    <t>Port One</t>
  </si>
  <si>
    <t>Detroit</t>
  </si>
  <si>
    <t>PH/CC</t>
  </si>
  <si>
    <t>Shaya FO Event</t>
  </si>
  <si>
    <t>CAIS Cap Intro</t>
  </si>
  <si>
    <t>ECP</t>
  </si>
  <si>
    <t>Acore Annual Event
Noon-6pm + Dinner</t>
  </si>
  <si>
    <t>Octagon</t>
  </si>
  <si>
    <t>MG/HF</t>
  </si>
  <si>
    <t>Legacy, KIFYX, Artisan, Acore, Digital Alpha</t>
  </si>
  <si>
    <t>Ion Pacfic DD</t>
  </si>
  <si>
    <t>Nuveen, Thora, First Eagle</t>
  </si>
  <si>
    <t>Uhlman Price (Broadway Broker), River North,
Driehaus, Dearborn Capital, Standish Admin</t>
  </si>
  <si>
    <t>MG/RG/Drew</t>
  </si>
  <si>
    <t>Orchard, Bright Meadow, Napier Park, Evolution</t>
  </si>
  <si>
    <t>nPowered by Nuveen w/GW</t>
  </si>
  <si>
    <t>Aetos, Halle, L&amp;B</t>
  </si>
  <si>
    <t>Baron Investment Conference</t>
  </si>
  <si>
    <t>Cross Ocean, Context, MERIX</t>
  </si>
  <si>
    <t>RAAIX, PIMCO</t>
  </si>
  <si>
    <t>Pimco annual event</t>
  </si>
  <si>
    <t>Amir?</t>
  </si>
  <si>
    <t>Investment Offsite</t>
  </si>
  <si>
    <t>Kopernik, Star Mtn</t>
  </si>
  <si>
    <t>Pelican, Westwood</t>
  </si>
  <si>
    <t xml:space="preserve">Beren, </t>
  </si>
  <si>
    <t>JG</t>
  </si>
  <si>
    <t>Private Wealth Conference 
Goldman Emerging Mgr Conf</t>
  </si>
  <si>
    <t>RG/JG</t>
  </si>
  <si>
    <t>ECP, GS?, Octagon?</t>
  </si>
  <si>
    <t>Cross Ocean AGM</t>
  </si>
  <si>
    <t>Jap Converts?</t>
  </si>
  <si>
    <t>Savannah, GA</t>
  </si>
  <si>
    <t>BFO Annual Offsite</t>
  </si>
  <si>
    <t>Milwakee</t>
  </si>
  <si>
    <t>Artisan AGM</t>
  </si>
  <si>
    <t>Regan, Ikarian, Harbert, Westwood, View Digital</t>
  </si>
  <si>
    <t>Traveller AGM</t>
  </si>
  <si>
    <t>JG/MG</t>
  </si>
  <si>
    <t>Cross Ocean, Context, MERIX, L&amp;B</t>
  </si>
  <si>
    <t>MyCor DD</t>
  </si>
  <si>
    <t>Nationwide, SilverArc, Millstreet, Eventide, Artisan Unconstrained</t>
  </si>
  <si>
    <t>No Stone Gala</t>
  </si>
  <si>
    <t>Private Equity Chicago Forum</t>
  </si>
  <si>
    <t>River North,
Driehaus, Dearborn Capital</t>
  </si>
  <si>
    <t>HF</t>
  </si>
  <si>
    <t>Goldman Fundamental Conf</t>
  </si>
  <si>
    <t>RG/MG</t>
  </si>
  <si>
    <t>Courage AGM</t>
  </si>
  <si>
    <t>Private Wealth Carolinas Forum</t>
  </si>
  <si>
    <t>HF/JG</t>
  </si>
  <si>
    <t>Nationwide Amundi w/ Chuba</t>
  </si>
  <si>
    <t>Barclay's HF Symposium</t>
  </si>
  <si>
    <t>x</t>
  </si>
  <si>
    <t>na</t>
  </si>
  <si>
    <t>Orchard, Acore, Aetos</t>
  </si>
  <si>
    <t>Bran Castle AGM</t>
  </si>
  <si>
    <t>Fly up night before</t>
  </si>
  <si>
    <t>Durham, NC</t>
  </si>
  <si>
    <t>JG/Drew</t>
  </si>
  <si>
    <t>Nationwide Amundi</t>
  </si>
  <si>
    <t>AII</t>
  </si>
  <si>
    <t>Markets Group Altsse</t>
  </si>
  <si>
    <t>MG/JG</t>
  </si>
  <si>
    <t>Churchill</t>
  </si>
  <si>
    <t>MG/RG/Anthony</t>
  </si>
  <si>
    <t>Primary Wave, Napier, Octagon, Evolution, Baron, Halle, Bran, Ion Pacific</t>
  </si>
  <si>
    <t>Praeger</t>
  </si>
  <si>
    <t>Churchill AGM 11/12
ECP AGM 11/13
Baron AGM 11/14</t>
  </si>
  <si>
    <t>Evolution AGM</t>
  </si>
  <si>
    <t>Westwood</t>
  </si>
  <si>
    <t>Pelican AGM</t>
  </si>
  <si>
    <t>Newport Beach CA</t>
  </si>
  <si>
    <t>Investment Team Offsite</t>
  </si>
  <si>
    <t xml:space="preserve">Sea Island </t>
  </si>
  <si>
    <t>AII Investor Huddle</t>
  </si>
  <si>
    <t>All</t>
  </si>
  <si>
    <t>SilverView</t>
  </si>
  <si>
    <t>MG/MF &amp; Client</t>
  </si>
  <si>
    <t>Regan, Ikarian, Westwood, View Digital</t>
  </si>
  <si>
    <t>Regan Capital at Omni PGA Resort</t>
  </si>
  <si>
    <t>Regan pays for golf and 1 night hotel</t>
  </si>
  <si>
    <t>Charlottesville</t>
  </si>
  <si>
    <t>RG</t>
  </si>
  <si>
    <t>Cross Ocean, Context, MERIX, L&amp;B, Mycor</t>
  </si>
  <si>
    <t>Park City, UT</t>
  </si>
  <si>
    <t xml:space="preserve">HF </t>
  </si>
  <si>
    <t>Citywire RIA Summit</t>
  </si>
  <si>
    <t>Citywire covers flights and hotels</t>
  </si>
  <si>
    <t>Augusta, GA</t>
  </si>
  <si>
    <t>GEM Event</t>
  </si>
  <si>
    <t>Ft Lauderdale</t>
  </si>
  <si>
    <t>Tabor covers $1k</t>
  </si>
  <si>
    <t>Quartus DD
BipSync</t>
  </si>
  <si>
    <t>Citywire CIO Summit</t>
  </si>
  <si>
    <t>Covered by First Eagle</t>
  </si>
  <si>
    <t>AII Spring Acadamy Forum</t>
  </si>
  <si>
    <t>HF/JG/MG</t>
  </si>
  <si>
    <t>Nationwide, SilverArc, Millstreet, Eventide, Artisan Unconstrained, Colrain</t>
  </si>
  <si>
    <t>BoSox Game 5/26</t>
  </si>
  <si>
    <t xml:space="preserve">Will comes too. Need 2 more rooms. </t>
  </si>
  <si>
    <t>Ikarian</t>
  </si>
  <si>
    <t>Silverback Converts</t>
  </si>
  <si>
    <t>JG/RG</t>
  </si>
  <si>
    <t>AII Fall Acadamy Forum</t>
  </si>
  <si>
    <t xml:space="preserve">Churchill AGM </t>
  </si>
  <si>
    <t>Potential Trips</t>
  </si>
  <si>
    <t>Markets Group PE Forum</t>
  </si>
  <si>
    <t xml:space="preserve">NYC </t>
  </si>
  <si>
    <t>PIMCO Wealth Management Forum</t>
  </si>
  <si>
    <t>PIMCO covers travel and hotel</t>
  </si>
  <si>
    <t>Pittsburgh, PA</t>
  </si>
  <si>
    <t>Federated Hermes Institutional Client Institute</t>
  </si>
  <si>
    <t xml:space="preserve">Half day evenet followed by a Pirates game. </t>
  </si>
  <si>
    <t xml:space="preserve">LGA </t>
  </si>
  <si>
    <t>ITE/Thora AGM</t>
  </si>
  <si>
    <t>Helicopter rides</t>
  </si>
  <si>
    <t>Q2</t>
  </si>
  <si>
    <t>Q3</t>
  </si>
  <si>
    <t>LAX&gt;SFO</t>
  </si>
  <si>
    <t>Legacy, KIFYX, Artisan, Acore, Digital Alpha, Sabal, IonP</t>
  </si>
  <si>
    <t>optional</t>
  </si>
  <si>
    <t xml:space="preserve">SBIC Fund </t>
  </si>
  <si>
    <t>Orchard, Acore, Aetos, 
Sandglass, One68, Lazard</t>
  </si>
  <si>
    <t>NYC Clean up trip (move to Q2)</t>
  </si>
  <si>
    <t>Q4</t>
  </si>
  <si>
    <t>MG/RG</t>
  </si>
  <si>
    <t>Primary Wave, Napier, Octagon, Evolution, Baron, Bran, Ion Pacific</t>
  </si>
  <si>
    <t>Needs 1 more manager to replace Halle</t>
  </si>
  <si>
    <t>Pimco AGM</t>
  </si>
  <si>
    <t>Notes/Other Visits</t>
  </si>
  <si>
    <t>Satori / Booked</t>
  </si>
  <si>
    <t>Aetos, Broadway, Merida, Stoneview, Jason Wild / Weds clients</t>
  </si>
  <si>
    <t/>
  </si>
  <si>
    <t>No Stone Charity Event / Client Event</t>
  </si>
  <si>
    <t>View, Satori  / Roska Joins; 11/17 Regan Investor Day</t>
  </si>
  <si>
    <t>Spring Lake, Silverview / Jason/Frank Join</t>
  </si>
  <si>
    <t>Client Trip: Rodomski / Confirmed</t>
  </si>
  <si>
    <t xml:space="preserve">SilverArc DD / Eventide sucks. </t>
  </si>
  <si>
    <t>Uhlman Price (Broadway Broker), River North,
Driehaus, Dearborn Capital / Hotel &amp; Flights booked</t>
  </si>
  <si>
    <t>Mt Vernon, View Fiber / Booked</t>
  </si>
  <si>
    <t>Curry Stoneview / Acore: 1-10pm on 10/11
Hotel &amp; Flights booked</t>
  </si>
  <si>
    <t>Soleus Capital, Portfolio Advisors / Hotel &amp; Flights booked</t>
  </si>
  <si>
    <t>Sabal / PIMCO Event 11/29-12/1</t>
  </si>
  <si>
    <t>L&amp;B Dinner
Context Lunch / Nikki, Bob Hayes? Chris</t>
  </si>
  <si>
    <t>View Cap, James Gorski
 / Bernstein Trip</t>
  </si>
  <si>
    <t>Octagon DD, Eagle's View, GMP / No req for Sig Guff, PW.</t>
  </si>
  <si>
    <t>Nuveen, Artisan, BBH, Aristotle / The Westin on College Street</t>
  </si>
  <si>
    <t>Reinhart Partners? / New fund HQ in Milwakee</t>
  </si>
  <si>
    <t>SBIC Onsite DD / D1 SBIC &amp; Cocktail reception. D2 9-5pm Music
Booked!</t>
  </si>
  <si>
    <t xml:space="preserve">Sandglass, One68, Lazard / Fly up night before </t>
  </si>
  <si>
    <t>Quartus, Gregg Fisher / Fly up night before</t>
  </si>
  <si>
    <t>Days</t>
  </si>
  <si>
    <t>Analyst</t>
  </si>
  <si>
    <t>Archived Trips</t>
  </si>
  <si>
    <t>Upcoming Trips</t>
  </si>
  <si>
    <t>MG w/ First Eagle, HF w/ Nuveen</t>
  </si>
  <si>
    <t>RG/MG/JG/HF</t>
  </si>
  <si>
    <t>MG, RG, HF</t>
  </si>
  <si>
    <t>HF/Will</t>
  </si>
  <si>
    <t>MG/HF/RG</t>
  </si>
  <si>
    <t>JGsonville - CLIENT</t>
  </si>
  <si>
    <t>JGsonville 
- CLIENT</t>
  </si>
  <si>
    <t>MG/Emma</t>
  </si>
  <si>
    <t>MG, Emma</t>
  </si>
  <si>
    <t>Emma/MG</t>
  </si>
  <si>
    <t>Nuveen, Invesco, Lazard / MG &amp; Emma out of town. Drew is out.</t>
  </si>
  <si>
    <t>MG/Emma in Cali</t>
  </si>
  <si>
    <t>Roska, MG</t>
  </si>
  <si>
    <t>Alexis, MG F, and Nate may attend dinner/drinks</t>
  </si>
  <si>
    <t>MG/Farrell</t>
  </si>
  <si>
    <t>Pete/MG</t>
  </si>
  <si>
    <t>MG/Anthony</t>
  </si>
  <si>
    <t>Betty and Bob White w/Farrell
Blue Owl / Driving, Hotel Booked. MG F joins</t>
  </si>
  <si>
    <t>RG/Emma/Drew</t>
  </si>
  <si>
    <t>RG/Emma/
MG</t>
  </si>
  <si>
    <t>Pete/RG</t>
  </si>
  <si>
    <t>MG/Pete/RG</t>
  </si>
  <si>
    <t>MG/Emma/RG</t>
  </si>
  <si>
    <t>RG/Drew</t>
  </si>
  <si>
    <t>Colrain DD / After 6/24 per 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</si>
</sst>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1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horizontal="center"/>
    </xf>
    <xf numFmtId="14" fontId="4" fillId="4" borderId="1" xfId="1" applyNumberFormat="1" applyFont="1" applyFill="1" applyAlignment="1">
      <alignment horizontal="center" vertical="center"/>
    </xf>
    <xf numFmtId="0" fontId="4" fillId="4" borderId="1" xfId="1" applyFont="1" applyFill="1" applyAlignment="1">
      <alignment horizontal="center" vertical="center"/>
    </xf>
    <xf numFmtId="0" fontId="4" fillId="4" borderId="1" xfId="1" applyFont="1" applyFill="1" applyAlignment="1">
      <alignment horizontal="center" vertical="center" wrapText="1"/>
    </xf>
    <xf numFmtId="0" fontId="4" fillId="4" borderId="1" xfId="1" applyFont="1" applyFill="1" applyAlignment="1">
      <alignment horizontal="left" vertical="center" wrapText="1"/>
    </xf>
    <xf numFmtId="1" fontId="4" fillId="4" borderId="1" xfId="1" quotePrefix="1" applyNumberFormat="1" applyFont="1" applyFill="1" applyAlignment="1">
      <alignment horizontal="center" vertical="center"/>
    </xf>
    <xf numFmtId="14" fontId="4" fillId="4" borderId="1" xfId="1" quotePrefix="1" applyNumberFormat="1" applyFont="1" applyFill="1" applyAlignment="1">
      <alignment horizontal="center" vertical="center"/>
    </xf>
    <xf numFmtId="14" fontId="4" fillId="4" borderId="2" xfId="1" applyNumberFormat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left" vertical="center" wrapText="1"/>
    </xf>
    <xf numFmtId="14" fontId="4" fillId="4" borderId="2" xfId="1" quotePrefix="1" applyNumberFormat="1" applyFont="1" applyFill="1" applyBorder="1" applyAlignment="1">
      <alignment horizontal="center" vertical="center"/>
    </xf>
    <xf numFmtId="14" fontId="5" fillId="4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left" vertical="center" wrapText="1"/>
    </xf>
    <xf numFmtId="14" fontId="4" fillId="2" borderId="1" xfId="1" quotePrefix="1" applyNumberFormat="1" applyFont="1" applyAlignment="1">
      <alignment horizontal="center" vertical="center"/>
    </xf>
    <xf numFmtId="0" fontId="4" fillId="2" borderId="1" xfId="1" applyFont="1" applyAlignment="1">
      <alignment horizontal="center" vertical="center" wrapText="1"/>
    </xf>
    <xf numFmtId="0" fontId="4" fillId="2" borderId="1" xfId="1" applyFont="1" applyAlignment="1">
      <alignment horizontal="center" vertical="center"/>
    </xf>
    <xf numFmtId="0" fontId="4" fillId="2" borderId="1" xfId="1" applyFont="1" applyAlignment="1">
      <alignment horizontal="left" vertical="center" wrapText="1"/>
    </xf>
    <xf numFmtId="14" fontId="4" fillId="2" borderId="1" xfId="1" applyNumberFormat="1" applyFont="1" applyAlignment="1">
      <alignment horizontal="center" vertical="center"/>
    </xf>
    <xf numFmtId="6" fontId="0" fillId="3" borderId="0" xfId="0" applyNumberFormat="1" applyFill="1"/>
    <xf numFmtId="0" fontId="0" fillId="3" borderId="0" xfId="0" applyFill="1" applyAlignment="1">
      <alignment horizontal="right"/>
    </xf>
    <xf numFmtId="4" fontId="0" fillId="3" borderId="0" xfId="0" applyNumberFormat="1" applyFill="1" applyAlignment="1">
      <alignment horizontal="center"/>
    </xf>
    <xf numFmtId="4" fontId="0" fillId="3" borderId="0" xfId="0" applyNumberFormat="1" applyFill="1"/>
    <xf numFmtId="0" fontId="0" fillId="3" borderId="0" xfId="0" quotePrefix="1" applyFill="1"/>
    <xf numFmtId="0" fontId="0" fillId="3" borderId="0" xfId="0" applyFill="1" applyAlignment="1">
      <alignment horizontal="center"/>
    </xf>
    <xf numFmtId="0" fontId="2" fillId="3" borderId="0" xfId="0" applyFont="1" applyFill="1"/>
    <xf numFmtId="6" fontId="4" fillId="2" borderId="1" xfId="1" applyNumberFormat="1" applyFont="1" applyAlignment="1">
      <alignment horizontal="center" vertical="center" wrapText="1"/>
    </xf>
    <xf numFmtId="16" fontId="0" fillId="3" borderId="0" xfId="0" applyNumberFormat="1" applyFill="1"/>
    <xf numFmtId="14" fontId="4" fillId="4" borderId="2" xfId="1" quotePrefix="1" applyNumberFormat="1" applyFont="1" applyFill="1" applyBorder="1" applyAlignment="1">
      <alignment horizontal="center" vertical="center" wrapText="1"/>
    </xf>
    <xf numFmtId="1" fontId="3" fillId="3" borderId="0" xfId="0" applyNumberFormat="1" applyFont="1" applyFill="1" applyAlignment="1">
      <alignment horizontal="center"/>
    </xf>
    <xf numFmtId="1" fontId="4" fillId="4" borderId="1" xfId="1" applyNumberFormat="1" applyFont="1" applyFill="1" applyAlignment="1">
      <alignment horizontal="center" vertical="center"/>
    </xf>
    <xf numFmtId="1" fontId="4" fillId="4" borderId="1" xfId="1" applyNumberFormat="1" applyFont="1" applyFill="1" applyAlignment="1">
      <alignment horizontal="center" vertical="center" wrapText="1"/>
    </xf>
    <xf numFmtId="1" fontId="4" fillId="4" borderId="1" xfId="1" quotePrefix="1" applyNumberFormat="1" applyFont="1" applyFill="1" applyAlignment="1">
      <alignment horizontal="center" vertical="center" wrapText="1"/>
    </xf>
    <xf numFmtId="1" fontId="4" fillId="4" borderId="2" xfId="1" applyNumberFormat="1" applyFont="1" applyFill="1" applyBorder="1" applyAlignment="1">
      <alignment horizontal="center" vertical="center" wrapText="1"/>
    </xf>
    <xf numFmtId="1" fontId="5" fillId="4" borderId="1" xfId="1" applyNumberFormat="1" applyFont="1" applyFill="1" applyAlignment="1">
      <alignment horizontal="center" vertical="center"/>
    </xf>
    <xf numFmtId="1" fontId="4" fillId="4" borderId="2" xfId="1" applyNumberFormat="1" applyFont="1" applyFill="1" applyBorder="1" applyAlignment="1">
      <alignment horizontal="center" vertical="center"/>
    </xf>
    <xf numFmtId="1" fontId="4" fillId="2" borderId="1" xfId="1" applyNumberFormat="1" applyFont="1" applyAlignment="1">
      <alignment horizontal="center" vertical="center" wrapText="1"/>
    </xf>
    <xf numFmtId="1" fontId="4" fillId="2" borderId="1" xfId="1" quotePrefix="1" applyNumberFormat="1" applyFont="1" applyAlignment="1">
      <alignment horizontal="center" vertical="center" wrapText="1"/>
    </xf>
    <xf numFmtId="1" fontId="0" fillId="3" borderId="0" xfId="0" applyNumberFormat="1" applyFill="1"/>
    <xf numFmtId="1" fontId="4" fillId="3" borderId="0" xfId="1" applyNumberFormat="1" applyFont="1" applyFill="1" applyBorder="1" applyAlignment="1">
      <alignment horizontal="center" vertical="center" wrapText="1"/>
    </xf>
    <xf numFmtId="14" fontId="4" fillId="2" borderId="2" xfId="1" applyNumberFormat="1" applyFont="1" applyBorder="1" applyAlignment="1">
      <alignment horizontal="center" vertical="center"/>
    </xf>
    <xf numFmtId="1" fontId="4" fillId="2" borderId="2" xfId="1" applyNumberFormat="1" applyFont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/>
    </xf>
    <xf numFmtId="0" fontId="4" fillId="2" borderId="2" xfId="1" applyFont="1" applyBorder="1" applyAlignment="1">
      <alignment horizontal="center" vertical="center" wrapText="1"/>
    </xf>
    <xf numFmtId="6" fontId="4" fillId="2" borderId="2" xfId="1" applyNumberFormat="1" applyFont="1" applyBorder="1" applyAlignment="1">
      <alignment horizontal="center" vertical="center" wrapText="1"/>
    </xf>
    <xf numFmtId="0" fontId="4" fillId="2" borderId="2" xfId="1" applyFont="1" applyBorder="1" applyAlignment="1">
      <alignment horizontal="left" vertical="center" wrapText="1"/>
    </xf>
    <xf numFmtId="0" fontId="3" fillId="3" borderId="0" xfId="0" applyFont="1" applyFill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FE62-C70E-41FB-BF62-A175E0C6E66B}">
  <dimension ref="A1:S166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30" customHeight="1" x14ac:dyDescent="0.3"/>
  <cols>
    <col min="1" max="1" width="14" style="1" bestFit="1" customWidth="1"/>
    <col min="2" max="2" width="9.44140625" style="42" bestFit="1" customWidth="1"/>
    <col min="3" max="3" width="19.5546875" style="1" bestFit="1" customWidth="1"/>
    <col min="4" max="4" width="18" style="1" bestFit="1" customWidth="1"/>
    <col min="5" max="5" width="47.5546875" style="1" customWidth="1"/>
    <col min="6" max="6" width="44.5546875" style="1" customWidth="1"/>
    <col min="7" max="9" width="8.88671875" style="28"/>
    <col min="10" max="10" width="44.5546875" style="1" customWidth="1"/>
    <col min="11" max="12" width="8.88671875" style="1"/>
    <col min="13" max="13" width="27.44140625" style="1" customWidth="1"/>
    <col min="14" max="19" width="8.88671875" style="1"/>
  </cols>
  <sheetData>
    <row r="1" spans="1:19" ht="14.4" x14ac:dyDescent="0.3">
      <c r="A1" s="2" t="s">
        <v>0</v>
      </c>
      <c r="B1" s="33" t="s">
        <v>314</v>
      </c>
      <c r="C1" s="2" t="s">
        <v>1</v>
      </c>
      <c r="D1" s="2" t="s">
        <v>315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292</v>
      </c>
      <c r="S1"/>
    </row>
    <row r="2" spans="1:19" ht="30" customHeight="1" x14ac:dyDescent="0.3">
      <c r="A2" s="50" t="s">
        <v>317</v>
      </c>
    </row>
    <row r="3" spans="1:19" ht="30" customHeight="1" x14ac:dyDescent="0.3">
      <c r="A3" s="22">
        <v>46035</v>
      </c>
      <c r="B3" s="40">
        <v>1</v>
      </c>
      <c r="C3" s="20" t="s">
        <v>47</v>
      </c>
      <c r="D3" s="19" t="s">
        <v>238</v>
      </c>
      <c r="E3" s="19"/>
      <c r="F3" s="19" t="s">
        <v>48</v>
      </c>
      <c r="G3" s="19" t="s">
        <v>46</v>
      </c>
      <c r="H3" s="19" t="s">
        <v>46</v>
      </c>
      <c r="I3" s="19" t="s">
        <v>46</v>
      </c>
      <c r="J3" s="21" t="s">
        <v>318</v>
      </c>
    </row>
    <row r="4" spans="1:19" ht="30" customHeight="1" x14ac:dyDescent="0.3">
      <c r="A4" s="22">
        <v>46051</v>
      </c>
      <c r="B4" s="40">
        <v>2</v>
      </c>
      <c r="C4" s="20" t="s">
        <v>89</v>
      </c>
      <c r="D4" s="19" t="s">
        <v>146</v>
      </c>
      <c r="E4" s="19" t="s">
        <v>91</v>
      </c>
      <c r="F4" s="19"/>
      <c r="G4" s="30">
        <v>427</v>
      </c>
      <c r="H4" s="30">
        <v>324</v>
      </c>
      <c r="I4" s="30" t="s">
        <v>46</v>
      </c>
      <c r="J4" s="21" t="s">
        <v>239</v>
      </c>
    </row>
    <row r="5" spans="1:19" ht="30" customHeight="1" x14ac:dyDescent="0.3">
      <c r="A5" s="18">
        <v>46077</v>
      </c>
      <c r="B5" s="40">
        <v>3</v>
      </c>
      <c r="C5" s="20" t="s">
        <v>33</v>
      </c>
      <c r="D5" s="19" t="s">
        <v>319</v>
      </c>
      <c r="E5" s="19"/>
      <c r="F5" s="19" t="s">
        <v>88</v>
      </c>
      <c r="G5" s="30">
        <v>527</v>
      </c>
      <c r="H5" s="30">
        <v>1025.79</v>
      </c>
      <c r="I5" s="30" t="s">
        <v>46</v>
      </c>
      <c r="J5" s="21" t="s">
        <v>295</v>
      </c>
    </row>
    <row r="6" spans="1:19" ht="30" customHeight="1" x14ac:dyDescent="0.3">
      <c r="A6" s="18">
        <v>46082</v>
      </c>
      <c r="B6" s="40">
        <v>3</v>
      </c>
      <c r="C6" s="20" t="s">
        <v>7</v>
      </c>
      <c r="D6" s="19" t="s">
        <v>240</v>
      </c>
      <c r="E6" s="19" t="s">
        <v>241</v>
      </c>
      <c r="F6" s="19" t="s">
        <v>242</v>
      </c>
      <c r="G6" s="30">
        <v>917.8</v>
      </c>
      <c r="H6" s="30">
        <v>913.18</v>
      </c>
      <c r="I6" s="30" t="s">
        <v>46</v>
      </c>
      <c r="J6" s="21" t="s">
        <v>243</v>
      </c>
    </row>
    <row r="7" spans="1:19" ht="30" customHeight="1" x14ac:dyDescent="0.3">
      <c r="A7" s="22">
        <v>46083</v>
      </c>
      <c r="B7" s="40">
        <v>2</v>
      </c>
      <c r="C7" s="20" t="s">
        <v>244</v>
      </c>
      <c r="D7" s="19" t="s">
        <v>245</v>
      </c>
      <c r="E7" s="19"/>
      <c r="F7" s="19" t="s">
        <v>237</v>
      </c>
      <c r="G7" s="30"/>
      <c r="H7" s="30"/>
      <c r="I7" s="30" t="s">
        <v>46</v>
      </c>
      <c r="J7" s="21" t="s">
        <v>295</v>
      </c>
      <c r="M7" s="23"/>
    </row>
    <row r="8" spans="1:19" ht="30" customHeight="1" x14ac:dyDescent="0.3">
      <c r="A8" s="18">
        <v>46099</v>
      </c>
      <c r="B8" s="40">
        <v>2</v>
      </c>
      <c r="C8" s="20" t="s">
        <v>108</v>
      </c>
      <c r="D8" s="19" t="s">
        <v>200</v>
      </c>
      <c r="E8" s="19" t="s">
        <v>246</v>
      </c>
      <c r="F8" s="19"/>
      <c r="G8" s="30">
        <v>584</v>
      </c>
      <c r="H8" s="30">
        <v>119</v>
      </c>
      <c r="I8" s="30" t="s">
        <v>46</v>
      </c>
      <c r="J8" s="21" t="s">
        <v>295</v>
      </c>
    </row>
    <row r="9" spans="1:19" ht="30" customHeight="1" x14ac:dyDescent="0.3">
      <c r="A9" s="22">
        <v>46105</v>
      </c>
      <c r="B9" s="40">
        <v>3</v>
      </c>
      <c r="C9" s="20" t="s">
        <v>247</v>
      </c>
      <c r="D9" s="19" t="s">
        <v>248</v>
      </c>
      <c r="E9" s="19"/>
      <c r="F9" s="19" t="s">
        <v>249</v>
      </c>
      <c r="G9" s="30" t="s">
        <v>46</v>
      </c>
      <c r="H9" s="30" t="s">
        <v>46</v>
      </c>
      <c r="I9" s="30" t="s">
        <v>46</v>
      </c>
      <c r="J9" s="21" t="s">
        <v>250</v>
      </c>
    </row>
    <row r="10" spans="1:19" ht="30" customHeight="1" x14ac:dyDescent="0.3">
      <c r="A10" s="22">
        <v>46122</v>
      </c>
      <c r="B10" s="40">
        <v>2</v>
      </c>
      <c r="C10" s="20" t="s">
        <v>251</v>
      </c>
      <c r="D10" s="19" t="s">
        <v>146</v>
      </c>
      <c r="E10" s="19"/>
      <c r="F10" s="19" t="s">
        <v>252</v>
      </c>
      <c r="G10" s="30" t="s">
        <v>46</v>
      </c>
      <c r="H10" s="30" t="s">
        <v>46</v>
      </c>
      <c r="I10" s="30" t="s">
        <v>46</v>
      </c>
      <c r="J10" s="21" t="s">
        <v>295</v>
      </c>
    </row>
    <row r="11" spans="1:19" ht="30" customHeight="1" x14ac:dyDescent="0.3">
      <c r="A11" s="22">
        <v>46132</v>
      </c>
      <c r="B11" s="40">
        <v>2</v>
      </c>
      <c r="C11" s="20" t="s">
        <v>253</v>
      </c>
      <c r="D11" s="19" t="s">
        <v>245</v>
      </c>
      <c r="E11" s="19"/>
      <c r="F11" s="19" t="s">
        <v>67</v>
      </c>
      <c r="G11" s="30">
        <v>700</v>
      </c>
      <c r="H11" s="30">
        <v>1200</v>
      </c>
      <c r="I11" s="30"/>
      <c r="J11" s="21" t="s">
        <v>254</v>
      </c>
    </row>
    <row r="12" spans="1:19" ht="28.8" x14ac:dyDescent="0.3">
      <c r="A12" s="22">
        <v>46134</v>
      </c>
      <c r="B12" s="40">
        <v>2</v>
      </c>
      <c r="C12" s="20" t="s">
        <v>19</v>
      </c>
      <c r="D12" s="19" t="s">
        <v>225</v>
      </c>
      <c r="E12" s="19"/>
      <c r="F12" s="19" t="s">
        <v>192</v>
      </c>
      <c r="G12" s="30">
        <v>492</v>
      </c>
      <c r="H12" s="30">
        <v>305</v>
      </c>
      <c r="I12" s="30" t="s">
        <v>46</v>
      </c>
      <c r="J12" s="21" t="s">
        <v>255</v>
      </c>
    </row>
    <row r="13" spans="1:19" ht="34.200000000000003" customHeight="1" x14ac:dyDescent="0.3">
      <c r="A13" s="22">
        <v>46134</v>
      </c>
      <c r="B13" s="40">
        <v>2</v>
      </c>
      <c r="C13" s="20" t="s">
        <v>95</v>
      </c>
      <c r="D13" s="19" t="s">
        <v>207</v>
      </c>
      <c r="E13" s="19"/>
      <c r="F13" s="19" t="s">
        <v>256</v>
      </c>
      <c r="G13" s="30" t="s">
        <v>46</v>
      </c>
      <c r="H13" s="30" t="s">
        <v>46</v>
      </c>
      <c r="I13" s="30" t="s">
        <v>46</v>
      </c>
      <c r="J13" s="21" t="s">
        <v>250</v>
      </c>
    </row>
    <row r="14" spans="1:19" ht="30" customHeight="1" x14ac:dyDescent="0.3">
      <c r="A14" s="18">
        <v>46139</v>
      </c>
      <c r="B14" s="40">
        <v>3</v>
      </c>
      <c r="C14" s="20" t="s">
        <v>41</v>
      </c>
      <c r="D14" s="19" t="s">
        <v>42</v>
      </c>
      <c r="E14" s="19"/>
      <c r="F14" s="19" t="s">
        <v>195</v>
      </c>
      <c r="G14" s="30" t="s">
        <v>46</v>
      </c>
      <c r="H14" s="30" t="s">
        <v>46</v>
      </c>
      <c r="I14" s="30" t="s">
        <v>46</v>
      </c>
      <c r="J14" s="21" t="s">
        <v>295</v>
      </c>
    </row>
    <row r="15" spans="1:19" ht="30" customHeight="1" x14ac:dyDescent="0.3">
      <c r="A15" s="18">
        <v>46148</v>
      </c>
      <c r="B15" s="40">
        <v>2</v>
      </c>
      <c r="C15" s="20" t="s">
        <v>15</v>
      </c>
      <c r="D15" s="19" t="s">
        <v>188</v>
      </c>
      <c r="E15" s="19"/>
      <c r="F15" s="19" t="s">
        <v>93</v>
      </c>
      <c r="G15" s="30" t="s">
        <v>46</v>
      </c>
      <c r="H15" s="30" t="s">
        <v>46</v>
      </c>
      <c r="I15" s="30" t="s">
        <v>46</v>
      </c>
      <c r="J15" s="21" t="s">
        <v>257</v>
      </c>
    </row>
    <row r="16" spans="1:19" ht="30" customHeight="1" x14ac:dyDescent="0.3">
      <c r="A16" s="22">
        <v>46161</v>
      </c>
      <c r="B16" s="40">
        <v>2</v>
      </c>
      <c r="C16" s="20" t="s">
        <v>41</v>
      </c>
      <c r="D16" s="19" t="s">
        <v>207</v>
      </c>
      <c r="E16" s="19"/>
      <c r="F16" s="19" t="s">
        <v>258</v>
      </c>
      <c r="G16" s="30" t="s">
        <v>46</v>
      </c>
      <c r="H16" s="30">
        <v>425</v>
      </c>
      <c r="I16" s="30" t="s">
        <v>46</v>
      </c>
      <c r="J16" s="21" t="s">
        <v>295</v>
      </c>
    </row>
    <row r="17" spans="1:14" ht="30" customHeight="1" x14ac:dyDescent="0.3">
      <c r="A17" s="18">
        <v>46168</v>
      </c>
      <c r="B17" s="40">
        <v>2</v>
      </c>
      <c r="C17" s="20" t="s">
        <v>118</v>
      </c>
      <c r="D17" s="19" t="s">
        <v>259</v>
      </c>
      <c r="E17" s="19" t="s">
        <v>260</v>
      </c>
      <c r="F17" s="19" t="s">
        <v>261</v>
      </c>
      <c r="G17" s="30">
        <v>699.66666666666663</v>
      </c>
      <c r="H17" s="30">
        <f>(817.4+499.58)/4</f>
        <v>329.245</v>
      </c>
      <c r="I17" s="30" t="s">
        <v>46</v>
      </c>
      <c r="J17" s="21" t="s">
        <v>262</v>
      </c>
      <c r="N17" s="31"/>
    </row>
    <row r="18" spans="1:14" ht="30" customHeight="1" x14ac:dyDescent="0.3">
      <c r="A18" s="18">
        <v>46176</v>
      </c>
      <c r="B18" s="40">
        <v>2</v>
      </c>
      <c r="C18" s="20" t="s">
        <v>7</v>
      </c>
      <c r="D18" s="19" t="s">
        <v>188</v>
      </c>
      <c r="E18" s="19" t="s">
        <v>263</v>
      </c>
      <c r="F18" s="19" t="s">
        <v>199</v>
      </c>
      <c r="G18" s="30">
        <v>556</v>
      </c>
      <c r="H18" s="30">
        <v>169</v>
      </c>
      <c r="I18" s="30"/>
      <c r="J18" s="21" t="s">
        <v>295</v>
      </c>
      <c r="N18" s="31"/>
    </row>
    <row r="19" spans="1:14" ht="30" customHeight="1" x14ac:dyDescent="0.3">
      <c r="A19" s="22">
        <v>46213</v>
      </c>
      <c r="B19" s="40">
        <v>2</v>
      </c>
      <c r="C19" s="20" t="s">
        <v>50</v>
      </c>
      <c r="D19" s="19" t="s">
        <v>146</v>
      </c>
      <c r="E19" s="19"/>
      <c r="F19" s="19" t="s">
        <v>204</v>
      </c>
      <c r="G19" s="30">
        <v>506.8</v>
      </c>
      <c r="H19" s="30">
        <v>188</v>
      </c>
      <c r="I19" s="30" t="s">
        <v>46</v>
      </c>
      <c r="J19" s="21" t="s">
        <v>295</v>
      </c>
    </row>
    <row r="20" spans="1:14" ht="30" customHeight="1" x14ac:dyDescent="0.3">
      <c r="A20" s="18">
        <v>46258</v>
      </c>
      <c r="B20" s="40">
        <v>2</v>
      </c>
      <c r="C20" s="20" t="s">
        <v>136</v>
      </c>
      <c r="D20" s="19"/>
      <c r="E20" s="19" t="s">
        <v>222</v>
      </c>
      <c r="F20" s="19" t="s">
        <v>237</v>
      </c>
      <c r="G20" s="30"/>
      <c r="H20" s="30"/>
      <c r="I20" s="30"/>
      <c r="J20" s="21" t="s">
        <v>264</v>
      </c>
    </row>
    <row r="21" spans="1:14" ht="30" customHeight="1" x14ac:dyDescent="0.3">
      <c r="A21" s="22">
        <v>46321</v>
      </c>
      <c r="B21" s="40">
        <v>2</v>
      </c>
      <c r="C21" s="20" t="s">
        <v>152</v>
      </c>
      <c r="D21" s="19" t="s">
        <v>265</v>
      </c>
      <c r="E21" s="19"/>
      <c r="F21" s="19" t="s">
        <v>266</v>
      </c>
      <c r="G21" s="30"/>
      <c r="H21" s="30"/>
      <c r="I21" s="30"/>
      <c r="J21" s="21" t="s">
        <v>295</v>
      </c>
    </row>
    <row r="22" spans="1:14" ht="30" customHeight="1" x14ac:dyDescent="0.3">
      <c r="A22" s="22">
        <v>46331</v>
      </c>
      <c r="B22" s="40">
        <v>2</v>
      </c>
      <c r="C22" s="20"/>
      <c r="D22" s="19"/>
      <c r="E22" s="19"/>
      <c r="F22" s="19" t="s">
        <v>267</v>
      </c>
      <c r="G22" s="30"/>
      <c r="H22" s="30"/>
      <c r="I22" s="30"/>
      <c r="J22" s="21" t="s">
        <v>295</v>
      </c>
    </row>
    <row r="23" spans="1:14" ht="30" customHeight="1" x14ac:dyDescent="0.3">
      <c r="A23" s="44">
        <v>46363</v>
      </c>
      <c r="B23" s="45">
        <v>2</v>
      </c>
      <c r="C23" s="46" t="s">
        <v>11</v>
      </c>
      <c r="D23" s="47"/>
      <c r="E23" s="47" t="s">
        <v>222</v>
      </c>
      <c r="F23" s="47" t="s">
        <v>237</v>
      </c>
      <c r="G23" s="48"/>
      <c r="H23" s="48"/>
      <c r="I23" s="48"/>
      <c r="J23" s="49" t="s">
        <v>295</v>
      </c>
    </row>
    <row r="24" spans="1:14" ht="30" customHeight="1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 t="s">
        <v>295</v>
      </c>
    </row>
    <row r="25" spans="1:14" ht="30" customHeight="1" x14ac:dyDescent="0.3">
      <c r="A25" s="29" t="s">
        <v>268</v>
      </c>
      <c r="J25" s="1" t="s">
        <v>295</v>
      </c>
      <c r="M25" s="24"/>
      <c r="N25" s="26"/>
    </row>
    <row r="26" spans="1:14" ht="30" customHeight="1" x14ac:dyDescent="0.3">
      <c r="A26" s="22">
        <v>46155</v>
      </c>
      <c r="B26" s="40">
        <v>1</v>
      </c>
      <c r="C26" s="20" t="s">
        <v>19</v>
      </c>
      <c r="D26" s="19"/>
      <c r="E26" s="19"/>
      <c r="F26" s="19" t="s">
        <v>269</v>
      </c>
      <c r="G26" s="30"/>
      <c r="H26" s="30"/>
      <c r="I26" s="30"/>
      <c r="J26" s="21" t="s">
        <v>295</v>
      </c>
      <c r="M26" s="23"/>
    </row>
    <row r="27" spans="1:14" ht="30" customHeight="1" x14ac:dyDescent="0.3">
      <c r="A27" s="22">
        <v>46176</v>
      </c>
      <c r="B27" s="40">
        <v>2</v>
      </c>
      <c r="C27" s="20" t="s">
        <v>270</v>
      </c>
      <c r="D27" s="19"/>
      <c r="E27" s="19"/>
      <c r="F27" s="19" t="s">
        <v>271</v>
      </c>
      <c r="G27" s="30"/>
      <c r="H27" s="30"/>
      <c r="I27" s="30"/>
      <c r="J27" s="21" t="s">
        <v>272</v>
      </c>
      <c r="M27" s="23"/>
    </row>
    <row r="28" spans="1:14" ht="30" customHeight="1" x14ac:dyDescent="0.3">
      <c r="A28" s="22">
        <v>46281</v>
      </c>
      <c r="B28" s="40">
        <v>1</v>
      </c>
      <c r="C28" s="20" t="s">
        <v>273</v>
      </c>
      <c r="D28" s="19"/>
      <c r="E28" s="19"/>
      <c r="F28" s="19" t="s">
        <v>274</v>
      </c>
      <c r="G28" s="30"/>
      <c r="H28" s="30"/>
      <c r="I28" s="30"/>
      <c r="J28" s="21" t="s">
        <v>275</v>
      </c>
      <c r="M28" s="23"/>
    </row>
    <row r="29" spans="1:14" ht="30" customHeight="1" x14ac:dyDescent="0.3">
      <c r="A29" s="22">
        <v>46316</v>
      </c>
      <c r="B29" s="40"/>
      <c r="C29" s="20" t="s">
        <v>276</v>
      </c>
      <c r="D29" s="19"/>
      <c r="E29" s="19" t="s">
        <v>277</v>
      </c>
      <c r="F29" s="19"/>
      <c r="G29" s="30"/>
      <c r="H29" s="30"/>
      <c r="I29" s="30"/>
      <c r="J29" s="21" t="s">
        <v>278</v>
      </c>
      <c r="M29" s="24"/>
      <c r="N29" s="28"/>
    </row>
    <row r="30" spans="1:14" ht="30" customHeight="1" x14ac:dyDescent="0.3">
      <c r="A30" s="18" t="s">
        <v>279</v>
      </c>
      <c r="B30" s="40">
        <v>2</v>
      </c>
      <c r="C30" s="20" t="s">
        <v>7</v>
      </c>
      <c r="D30" s="19" t="s">
        <v>46</v>
      </c>
      <c r="E30" s="19" t="s">
        <v>198</v>
      </c>
      <c r="F30" s="19" t="s">
        <v>199</v>
      </c>
      <c r="G30" s="30"/>
      <c r="H30" s="30"/>
      <c r="I30" s="30"/>
      <c r="J30" s="21" t="s">
        <v>295</v>
      </c>
    </row>
    <row r="31" spans="1:14" ht="30" customHeight="1" x14ac:dyDescent="0.3">
      <c r="A31" s="18" t="s">
        <v>280</v>
      </c>
      <c r="B31" s="40">
        <v>3</v>
      </c>
      <c r="C31" s="20" t="s">
        <v>281</v>
      </c>
      <c r="D31" s="19" t="s">
        <v>46</v>
      </c>
      <c r="E31" s="19" t="s">
        <v>282</v>
      </c>
      <c r="F31" s="19"/>
      <c r="G31" s="30"/>
      <c r="H31" s="30"/>
      <c r="I31" s="30"/>
      <c r="J31" s="21" t="s">
        <v>283</v>
      </c>
    </row>
    <row r="32" spans="1:14" ht="30" customHeight="1" x14ac:dyDescent="0.3">
      <c r="A32" s="18" t="s">
        <v>280</v>
      </c>
      <c r="B32" s="40">
        <v>3</v>
      </c>
      <c r="C32" s="20" t="s">
        <v>15</v>
      </c>
      <c r="D32" s="19" t="s">
        <v>146</v>
      </c>
      <c r="E32" s="19" t="s">
        <v>173</v>
      </c>
      <c r="F32" s="19" t="s">
        <v>205</v>
      </c>
      <c r="G32" s="30"/>
      <c r="H32" s="30"/>
      <c r="I32" s="30"/>
      <c r="J32" s="21" t="s">
        <v>295</v>
      </c>
    </row>
    <row r="33" spans="1:19" ht="30" customHeight="1" x14ac:dyDescent="0.3">
      <c r="A33" s="18" t="s">
        <v>280</v>
      </c>
      <c r="B33" s="40">
        <v>1</v>
      </c>
      <c r="C33" s="20" t="s">
        <v>19</v>
      </c>
      <c r="D33" s="19" t="s">
        <v>188</v>
      </c>
      <c r="E33" s="19"/>
      <c r="F33" s="19" t="s">
        <v>208</v>
      </c>
      <c r="G33" s="30"/>
      <c r="H33" s="30"/>
      <c r="I33" s="30"/>
      <c r="J33" s="21" t="s">
        <v>295</v>
      </c>
    </row>
    <row r="34" spans="1:19" ht="30" customHeight="1" x14ac:dyDescent="0.3">
      <c r="A34" s="18" t="s">
        <v>280</v>
      </c>
      <c r="B34" s="40">
        <v>2</v>
      </c>
      <c r="C34" s="20" t="s">
        <v>95</v>
      </c>
      <c r="D34" s="19" t="s">
        <v>209</v>
      </c>
      <c r="E34" s="19" t="s">
        <v>284</v>
      </c>
      <c r="F34" s="19" t="s">
        <v>210</v>
      </c>
      <c r="G34" s="30"/>
      <c r="H34" s="30"/>
      <c r="I34" s="30"/>
      <c r="J34" s="21" t="s">
        <v>295</v>
      </c>
    </row>
    <row r="35" spans="1:19" ht="30" customHeight="1" x14ac:dyDescent="0.3">
      <c r="A35" s="18" t="s">
        <v>280</v>
      </c>
      <c r="B35" s="40">
        <v>2</v>
      </c>
      <c r="C35" s="20" t="s">
        <v>19</v>
      </c>
      <c r="D35" s="19" t="s">
        <v>207</v>
      </c>
      <c r="E35" s="19"/>
      <c r="F35" s="19" t="s">
        <v>214</v>
      </c>
      <c r="G35" s="30"/>
      <c r="H35" s="30"/>
      <c r="I35" s="30"/>
      <c r="J35" s="21" t="s">
        <v>295</v>
      </c>
    </row>
    <row r="36" spans="1:19" ht="30" customHeight="1" x14ac:dyDescent="0.3">
      <c r="A36" s="18" t="s">
        <v>280</v>
      </c>
      <c r="B36" s="40">
        <v>2</v>
      </c>
      <c r="C36" s="20" t="s">
        <v>19</v>
      </c>
      <c r="D36" s="19" t="s">
        <v>46</v>
      </c>
      <c r="E36" s="19" t="s">
        <v>285</v>
      </c>
      <c r="F36" s="19" t="s">
        <v>218</v>
      </c>
      <c r="G36" s="30"/>
      <c r="H36" s="30"/>
      <c r="I36" s="30"/>
      <c r="J36" s="21" t="s">
        <v>286</v>
      </c>
    </row>
    <row r="37" spans="1:19" ht="30" customHeight="1" x14ac:dyDescent="0.3">
      <c r="A37" s="18" t="s">
        <v>287</v>
      </c>
      <c r="B37" s="40">
        <v>2</v>
      </c>
      <c r="C37" s="20" t="s">
        <v>145</v>
      </c>
      <c r="D37" s="19" t="s">
        <v>146</v>
      </c>
      <c r="E37" s="19" t="s">
        <v>232</v>
      </c>
      <c r="F37" s="19" t="s">
        <v>233</v>
      </c>
      <c r="G37" s="30"/>
      <c r="H37" s="30"/>
      <c r="I37" s="30"/>
      <c r="J37" s="21" t="s">
        <v>295</v>
      </c>
      <c r="M37" s="24"/>
      <c r="N37" s="25"/>
    </row>
    <row r="38" spans="1:19" ht="30" customHeight="1" x14ac:dyDescent="0.3">
      <c r="A38" s="22" t="s">
        <v>287</v>
      </c>
      <c r="B38" s="40">
        <v>3</v>
      </c>
      <c r="C38" s="20" t="s">
        <v>23</v>
      </c>
      <c r="D38" s="19" t="s">
        <v>225</v>
      </c>
      <c r="E38" s="19" t="s">
        <v>29</v>
      </c>
      <c r="F38" s="19" t="s">
        <v>24</v>
      </c>
      <c r="G38" s="30"/>
      <c r="H38" s="30"/>
      <c r="I38" s="30"/>
      <c r="J38" s="21" t="s">
        <v>226</v>
      </c>
      <c r="M38" s="24"/>
      <c r="N38" s="25"/>
    </row>
    <row r="39" spans="1:19" ht="30" customHeight="1" x14ac:dyDescent="0.3">
      <c r="A39" s="22" t="s">
        <v>287</v>
      </c>
      <c r="B39" s="40">
        <v>2</v>
      </c>
      <c r="C39" s="20" t="s">
        <v>100</v>
      </c>
      <c r="D39" s="19" t="s">
        <v>288</v>
      </c>
      <c r="E39" s="19" t="s">
        <v>289</v>
      </c>
      <c r="F39" s="19"/>
      <c r="G39" s="30"/>
      <c r="H39" s="30"/>
      <c r="I39" s="30"/>
      <c r="J39" s="21" t="s">
        <v>290</v>
      </c>
      <c r="M39" s="24"/>
      <c r="N39" s="25"/>
      <c r="O39" s="27"/>
      <c r="Q39" s="26"/>
    </row>
    <row r="40" spans="1:19" ht="43.2" x14ac:dyDescent="0.3">
      <c r="A40" s="22" t="s">
        <v>287</v>
      </c>
      <c r="B40" s="40">
        <v>3</v>
      </c>
      <c r="C40" s="20" t="s">
        <v>19</v>
      </c>
      <c r="D40" s="19" t="s">
        <v>46</v>
      </c>
      <c r="E40" s="19"/>
      <c r="F40" s="19" t="s">
        <v>230</v>
      </c>
      <c r="G40" s="30"/>
      <c r="H40" s="30"/>
      <c r="I40" s="30"/>
      <c r="J40" s="21" t="s">
        <v>295</v>
      </c>
      <c r="M40" s="24"/>
      <c r="N40" s="28"/>
    </row>
    <row r="41" spans="1:19" ht="30" customHeight="1" x14ac:dyDescent="0.3">
      <c r="A41" s="22" t="s">
        <v>287</v>
      </c>
      <c r="B41" s="40">
        <v>2</v>
      </c>
      <c r="C41" s="20" t="s">
        <v>19</v>
      </c>
      <c r="D41" s="19" t="s">
        <v>46</v>
      </c>
      <c r="E41" s="19"/>
      <c r="F41" s="19" t="s">
        <v>231</v>
      </c>
      <c r="G41" s="30"/>
      <c r="H41" s="30"/>
      <c r="I41" s="30"/>
      <c r="J41" s="21" t="s">
        <v>295</v>
      </c>
      <c r="M41" s="24"/>
      <c r="N41" s="28"/>
    </row>
    <row r="42" spans="1:19" ht="30" customHeight="1" x14ac:dyDescent="0.3">
      <c r="A42" s="22" t="s">
        <v>287</v>
      </c>
      <c r="B42" s="40">
        <v>3</v>
      </c>
      <c r="C42" s="20" t="s">
        <v>234</v>
      </c>
      <c r="D42" s="19" t="s">
        <v>207</v>
      </c>
      <c r="E42" s="19" t="s">
        <v>141</v>
      </c>
      <c r="F42" s="19" t="s">
        <v>291</v>
      </c>
      <c r="G42" s="30"/>
      <c r="H42" s="30"/>
      <c r="I42" s="30"/>
      <c r="J42" s="21" t="s">
        <v>295</v>
      </c>
      <c r="M42" s="24"/>
      <c r="N42" s="28"/>
    </row>
    <row r="44" spans="1:19" ht="30" customHeight="1" x14ac:dyDescent="0.3">
      <c r="A44" s="29" t="s">
        <v>316</v>
      </c>
    </row>
    <row r="45" spans="1:19" ht="30" customHeight="1" x14ac:dyDescent="0.3">
      <c r="A45" s="3">
        <v>44466</v>
      </c>
      <c r="B45" s="34">
        <v>2</v>
      </c>
      <c r="C45" s="4" t="s">
        <v>7</v>
      </c>
      <c r="D45" s="4" t="s">
        <v>325</v>
      </c>
      <c r="E45" s="5" t="s">
        <v>8</v>
      </c>
      <c r="F45" s="4" t="s">
        <v>9</v>
      </c>
      <c r="G45" s="6"/>
      <c r="H45" s="6"/>
      <c r="I45" s="6"/>
      <c r="J45" s="6" t="s">
        <v>293</v>
      </c>
    </row>
    <row r="46" spans="1:19" ht="30" customHeight="1" x14ac:dyDescent="0.3">
      <c r="A46" s="3">
        <v>44481</v>
      </c>
      <c r="B46" s="34">
        <v>2</v>
      </c>
      <c r="C46" s="4" t="s">
        <v>11</v>
      </c>
      <c r="D46" s="4" t="s">
        <v>336</v>
      </c>
      <c r="E46" s="5" t="s">
        <v>12</v>
      </c>
      <c r="F46" s="5" t="s">
        <v>13</v>
      </c>
      <c r="G46" s="6"/>
      <c r="H46" s="6"/>
      <c r="I46" s="6"/>
      <c r="J46" s="6" t="s">
        <v>14</v>
      </c>
      <c r="S46"/>
    </row>
    <row r="47" spans="1:19" ht="30" customHeight="1" x14ac:dyDescent="0.3">
      <c r="A47" s="3">
        <v>44486</v>
      </c>
      <c r="B47" s="7">
        <v>3</v>
      </c>
      <c r="C47" s="4" t="s">
        <v>15</v>
      </c>
      <c r="D47" s="4" t="s">
        <v>245</v>
      </c>
      <c r="E47" s="5" t="s">
        <v>16</v>
      </c>
      <c r="F47" s="5" t="s">
        <v>17</v>
      </c>
      <c r="G47" s="6"/>
      <c r="H47" s="6"/>
      <c r="I47" s="6"/>
      <c r="J47" s="6" t="s">
        <v>18</v>
      </c>
      <c r="S47"/>
    </row>
    <row r="48" spans="1:19" ht="30" customHeight="1" x14ac:dyDescent="0.3">
      <c r="A48" s="3">
        <v>44488</v>
      </c>
      <c r="B48" s="7">
        <v>2</v>
      </c>
      <c r="C48" s="4" t="s">
        <v>19</v>
      </c>
      <c r="D48" s="4" t="s">
        <v>326</v>
      </c>
      <c r="E48" s="5" t="s">
        <v>20</v>
      </c>
      <c r="F48" s="5" t="s">
        <v>21</v>
      </c>
      <c r="G48" s="6"/>
      <c r="H48" s="6"/>
      <c r="I48" s="6"/>
      <c r="J48" s="6" t="s">
        <v>22</v>
      </c>
      <c r="S48"/>
    </row>
    <row r="49" spans="1:19" ht="30" customHeight="1" x14ac:dyDescent="0.3">
      <c r="A49" s="3">
        <v>44496</v>
      </c>
      <c r="B49" s="7">
        <v>2</v>
      </c>
      <c r="C49" s="4" t="s">
        <v>23</v>
      </c>
      <c r="D49" s="4" t="s">
        <v>326</v>
      </c>
      <c r="E49" s="5"/>
      <c r="F49" s="5" t="s">
        <v>24</v>
      </c>
      <c r="G49" s="6"/>
      <c r="H49" s="6"/>
      <c r="I49" s="6"/>
      <c r="J49" s="6" t="s">
        <v>25</v>
      </c>
      <c r="S49"/>
    </row>
    <row r="50" spans="1:19" ht="30" customHeight="1" x14ac:dyDescent="0.3">
      <c r="A50" s="3">
        <v>44516</v>
      </c>
      <c r="B50" s="35">
        <v>3</v>
      </c>
      <c r="C50" s="4" t="s">
        <v>19</v>
      </c>
      <c r="D50" s="5" t="s">
        <v>337</v>
      </c>
      <c r="E50" s="5" t="s">
        <v>26</v>
      </c>
      <c r="F50" s="5" t="s">
        <v>27</v>
      </c>
      <c r="G50" s="6"/>
      <c r="H50" s="6"/>
      <c r="I50" s="6"/>
      <c r="J50" s="6" t="s">
        <v>294</v>
      </c>
      <c r="S50"/>
    </row>
    <row r="51" spans="1:19" ht="30" customHeight="1" x14ac:dyDescent="0.3">
      <c r="A51" s="3">
        <v>44545</v>
      </c>
      <c r="B51" s="34">
        <v>0.5</v>
      </c>
      <c r="C51" s="4" t="s">
        <v>28</v>
      </c>
      <c r="D51" s="5" t="s">
        <v>209</v>
      </c>
      <c r="E51" s="5" t="s">
        <v>29</v>
      </c>
      <c r="F51" s="5"/>
      <c r="G51" s="6"/>
      <c r="H51" s="6"/>
      <c r="I51" s="6"/>
      <c r="J51" s="6" t="s">
        <v>295</v>
      </c>
      <c r="S51"/>
    </row>
    <row r="52" spans="1:19" ht="30" customHeight="1" x14ac:dyDescent="0.3">
      <c r="A52" s="3">
        <v>44643</v>
      </c>
      <c r="B52" s="34">
        <v>0.5</v>
      </c>
      <c r="C52" s="4" t="s">
        <v>30</v>
      </c>
      <c r="D52" s="5" t="s">
        <v>337</v>
      </c>
      <c r="E52" s="5" t="s">
        <v>31</v>
      </c>
      <c r="F52" s="5" t="s">
        <v>32</v>
      </c>
      <c r="G52" s="6"/>
      <c r="H52" s="6"/>
      <c r="I52" s="6"/>
      <c r="J52" s="6" t="s">
        <v>295</v>
      </c>
    </row>
    <row r="53" spans="1:19" ht="28.8" x14ac:dyDescent="0.3">
      <c r="A53" s="3">
        <v>44585</v>
      </c>
      <c r="B53" s="35">
        <v>4</v>
      </c>
      <c r="C53" s="4" t="s">
        <v>33</v>
      </c>
      <c r="D53" s="5" t="s">
        <v>337</v>
      </c>
      <c r="E53" s="5"/>
      <c r="F53" s="5" t="s">
        <v>34</v>
      </c>
      <c r="G53" s="6"/>
      <c r="H53" s="6"/>
      <c r="I53" s="6"/>
      <c r="J53" s="6" t="s">
        <v>35</v>
      </c>
      <c r="S53"/>
    </row>
    <row r="54" spans="1:19" ht="30" customHeight="1" x14ac:dyDescent="0.3">
      <c r="A54" s="3">
        <v>44635</v>
      </c>
      <c r="B54" s="34">
        <v>0.5</v>
      </c>
      <c r="C54" s="4" t="s">
        <v>30</v>
      </c>
      <c r="D54" s="5" t="s">
        <v>337</v>
      </c>
      <c r="E54" s="5" t="s">
        <v>37</v>
      </c>
      <c r="F54" s="5"/>
      <c r="G54" s="6"/>
      <c r="H54" s="6"/>
      <c r="I54" s="6"/>
      <c r="J54" s="6" t="s">
        <v>295</v>
      </c>
    </row>
    <row r="55" spans="1:19" ht="30" customHeight="1" x14ac:dyDescent="0.3">
      <c r="A55" s="3">
        <v>44677</v>
      </c>
      <c r="B55" s="35">
        <v>1</v>
      </c>
      <c r="C55" s="4" t="s">
        <v>38</v>
      </c>
      <c r="D55" s="5" t="s">
        <v>146</v>
      </c>
      <c r="E55" s="5" t="s">
        <v>39</v>
      </c>
      <c r="F55" s="5"/>
      <c r="G55" s="6"/>
      <c r="H55" s="6"/>
      <c r="I55" s="6"/>
      <c r="J55" s="6" t="s">
        <v>40</v>
      </c>
    </row>
    <row r="56" spans="1:19" ht="30" customHeight="1" x14ac:dyDescent="0.3">
      <c r="A56" s="3">
        <v>44679</v>
      </c>
      <c r="B56" s="35">
        <v>2</v>
      </c>
      <c r="C56" s="4" t="s">
        <v>41</v>
      </c>
      <c r="D56" s="5" t="s">
        <v>42</v>
      </c>
      <c r="E56" s="5"/>
      <c r="F56" s="5"/>
      <c r="G56" s="6"/>
      <c r="H56" s="6"/>
      <c r="I56" s="6"/>
      <c r="J56" s="6" t="s">
        <v>43</v>
      </c>
    </row>
    <row r="57" spans="1:19" ht="30" customHeight="1" x14ac:dyDescent="0.3">
      <c r="A57" s="3">
        <v>44684</v>
      </c>
      <c r="B57" s="35">
        <v>2</v>
      </c>
      <c r="C57" s="4" t="s">
        <v>19</v>
      </c>
      <c r="D57" s="5" t="s">
        <v>327</v>
      </c>
      <c r="E57" s="5"/>
      <c r="F57" s="5" t="s">
        <v>44</v>
      </c>
      <c r="G57" s="6"/>
      <c r="H57" s="6"/>
      <c r="I57" s="6"/>
      <c r="J57" s="6" t="s">
        <v>45</v>
      </c>
    </row>
    <row r="58" spans="1:19" ht="30" customHeight="1" x14ac:dyDescent="0.3">
      <c r="A58" s="3">
        <v>44684</v>
      </c>
      <c r="B58" s="35">
        <v>0</v>
      </c>
      <c r="C58" s="4" t="s">
        <v>47</v>
      </c>
      <c r="D58" s="5"/>
      <c r="E58" s="5"/>
      <c r="F58" s="5" t="s">
        <v>48</v>
      </c>
      <c r="G58" s="6"/>
      <c r="H58" s="6"/>
      <c r="I58" s="6"/>
      <c r="J58" s="6" t="s">
        <v>328</v>
      </c>
    </row>
    <row r="59" spans="1:19" ht="30" customHeight="1" x14ac:dyDescent="0.3">
      <c r="A59" s="3">
        <v>44697</v>
      </c>
      <c r="B59" s="35">
        <v>2</v>
      </c>
      <c r="C59" s="4" t="s">
        <v>41</v>
      </c>
      <c r="D59" s="5" t="s">
        <v>338</v>
      </c>
      <c r="E59" s="5"/>
      <c r="F59" s="5" t="s">
        <v>49</v>
      </c>
      <c r="G59" s="6"/>
      <c r="H59" s="6"/>
      <c r="I59" s="6"/>
      <c r="J59" s="6" t="s">
        <v>295</v>
      </c>
    </row>
    <row r="60" spans="1:19" ht="30" customHeight="1" x14ac:dyDescent="0.3">
      <c r="A60" s="3">
        <v>44749</v>
      </c>
      <c r="B60" s="35">
        <v>2</v>
      </c>
      <c r="C60" s="4" t="s">
        <v>50</v>
      </c>
      <c r="D60" s="5" t="s">
        <v>146</v>
      </c>
      <c r="E60" s="5"/>
      <c r="F60" s="5"/>
      <c r="G60" s="6"/>
      <c r="H60" s="6"/>
      <c r="I60" s="6"/>
      <c r="J60" s="6" t="s">
        <v>296</v>
      </c>
    </row>
    <row r="61" spans="1:19" ht="30" customHeight="1" x14ac:dyDescent="0.3">
      <c r="A61" s="3">
        <v>44762</v>
      </c>
      <c r="B61" s="35">
        <v>2</v>
      </c>
      <c r="C61" s="4" t="s">
        <v>52</v>
      </c>
      <c r="D61" s="5" t="s">
        <v>146</v>
      </c>
      <c r="E61" s="5"/>
      <c r="F61" s="5" t="s">
        <v>53</v>
      </c>
      <c r="G61" s="6"/>
      <c r="H61" s="6"/>
      <c r="I61" s="6"/>
      <c r="J61" s="6" t="s">
        <v>54</v>
      </c>
    </row>
    <row r="62" spans="1:19" ht="28.8" x14ac:dyDescent="0.3">
      <c r="A62" s="3">
        <v>44796</v>
      </c>
      <c r="B62" s="35">
        <v>3</v>
      </c>
      <c r="C62" s="4" t="s">
        <v>15</v>
      </c>
      <c r="D62" s="5" t="s">
        <v>146</v>
      </c>
      <c r="E62" s="5" t="s">
        <v>55</v>
      </c>
      <c r="F62" s="5" t="s">
        <v>56</v>
      </c>
      <c r="G62" s="6"/>
      <c r="H62" s="6"/>
      <c r="I62" s="6"/>
      <c r="J62" s="6" t="s">
        <v>57</v>
      </c>
    </row>
    <row r="63" spans="1:19" ht="30" customHeight="1" x14ac:dyDescent="0.3">
      <c r="A63" s="3">
        <v>44816</v>
      </c>
      <c r="B63" s="35">
        <v>2</v>
      </c>
      <c r="C63" s="4" t="s">
        <v>58</v>
      </c>
      <c r="D63" s="5" t="s">
        <v>59</v>
      </c>
      <c r="E63" s="5" t="s">
        <v>60</v>
      </c>
      <c r="F63" s="5"/>
      <c r="G63" s="6"/>
      <c r="H63" s="6"/>
      <c r="I63" s="6"/>
      <c r="J63" s="6" t="s">
        <v>295</v>
      </c>
    </row>
    <row r="64" spans="1:19" ht="30" customHeight="1" x14ac:dyDescent="0.3">
      <c r="A64" s="3">
        <v>44818</v>
      </c>
      <c r="B64" s="35">
        <v>1</v>
      </c>
      <c r="C64" s="4" t="s">
        <v>19</v>
      </c>
      <c r="D64" s="5" t="s">
        <v>146</v>
      </c>
      <c r="E64" s="5"/>
      <c r="F64" s="5" t="s">
        <v>61</v>
      </c>
      <c r="G64" s="6"/>
      <c r="H64" s="6"/>
      <c r="I64" s="6"/>
      <c r="J64" s="6" t="s">
        <v>62</v>
      </c>
    </row>
    <row r="65" spans="1:19" ht="30" customHeight="1" x14ac:dyDescent="0.3">
      <c r="A65" s="3">
        <v>44851</v>
      </c>
      <c r="B65" s="35">
        <v>4</v>
      </c>
      <c r="C65" s="4" t="s">
        <v>63</v>
      </c>
      <c r="D65" s="5" t="s">
        <v>327</v>
      </c>
      <c r="E65" s="5" t="s">
        <v>64</v>
      </c>
      <c r="F65" s="5"/>
      <c r="G65" s="6"/>
      <c r="H65" s="6"/>
      <c r="I65" s="6"/>
      <c r="J65" s="6" t="s">
        <v>295</v>
      </c>
      <c r="S65"/>
    </row>
    <row r="66" spans="1:19" ht="30" customHeight="1" x14ac:dyDescent="0.3">
      <c r="A66" s="3">
        <v>44853</v>
      </c>
      <c r="B66" s="35">
        <v>1</v>
      </c>
      <c r="C66" s="4" t="s">
        <v>19</v>
      </c>
      <c r="D66" s="5" t="s">
        <v>245</v>
      </c>
      <c r="E66" s="5" t="s">
        <v>65</v>
      </c>
      <c r="F66" s="5"/>
      <c r="G66" s="6"/>
      <c r="H66" s="6"/>
      <c r="I66" s="6"/>
      <c r="J66" s="6" t="s">
        <v>329</v>
      </c>
      <c r="S66"/>
    </row>
    <row r="67" spans="1:19" ht="30" customHeight="1" x14ac:dyDescent="0.3">
      <c r="A67" s="3">
        <v>44858</v>
      </c>
      <c r="B67" s="35">
        <v>2</v>
      </c>
      <c r="C67" s="4" t="s">
        <v>66</v>
      </c>
      <c r="D67" s="5" t="s">
        <v>245</v>
      </c>
      <c r="E67" s="5"/>
      <c r="F67" s="5" t="s">
        <v>67</v>
      </c>
      <c r="G67" s="6"/>
      <c r="H67" s="6"/>
      <c r="I67" s="6"/>
      <c r="J67" s="6" t="s">
        <v>295</v>
      </c>
      <c r="S67"/>
    </row>
    <row r="68" spans="1:19" ht="30" customHeight="1" x14ac:dyDescent="0.3">
      <c r="A68" s="8">
        <v>44859</v>
      </c>
      <c r="B68" s="35">
        <v>2</v>
      </c>
      <c r="C68" s="4" t="s">
        <v>11</v>
      </c>
      <c r="D68" s="5" t="s">
        <v>330</v>
      </c>
      <c r="E68" s="5"/>
      <c r="F68" s="5" t="s">
        <v>49</v>
      </c>
      <c r="G68" s="6"/>
      <c r="H68" s="6"/>
      <c r="I68" s="6"/>
      <c r="J68" s="6" t="s">
        <v>295</v>
      </c>
    </row>
    <row r="69" spans="1:19" ht="30" customHeight="1" x14ac:dyDescent="0.3">
      <c r="A69" s="8">
        <v>44874</v>
      </c>
      <c r="B69" s="35">
        <v>2</v>
      </c>
      <c r="C69" s="4" t="s">
        <v>68</v>
      </c>
      <c r="D69" s="5" t="s">
        <v>327</v>
      </c>
      <c r="E69" s="5" t="s">
        <v>69</v>
      </c>
      <c r="F69" s="5"/>
      <c r="G69" s="6"/>
      <c r="H69" s="6"/>
      <c r="I69" s="6"/>
      <c r="J69" s="6" t="s">
        <v>70</v>
      </c>
    </row>
    <row r="70" spans="1:19" ht="30" customHeight="1" x14ac:dyDescent="0.3">
      <c r="A70" s="8">
        <v>44882</v>
      </c>
      <c r="B70" s="35">
        <v>2</v>
      </c>
      <c r="C70" s="4" t="s">
        <v>7</v>
      </c>
      <c r="D70" s="5" t="s">
        <v>71</v>
      </c>
      <c r="E70" s="5" t="s">
        <v>72</v>
      </c>
      <c r="F70" s="5" t="s">
        <v>73</v>
      </c>
      <c r="G70" s="6"/>
      <c r="H70" s="6"/>
      <c r="I70" s="6"/>
      <c r="J70" s="6" t="s">
        <v>297</v>
      </c>
    </row>
    <row r="71" spans="1:19" ht="30" customHeight="1" x14ac:dyDescent="0.3">
      <c r="A71" s="8">
        <v>44894</v>
      </c>
      <c r="B71" s="35">
        <v>2</v>
      </c>
      <c r="C71" s="4" t="s">
        <v>7</v>
      </c>
      <c r="D71" s="5" t="s">
        <v>146</v>
      </c>
      <c r="E71" s="5"/>
      <c r="F71" s="5" t="s">
        <v>74</v>
      </c>
      <c r="G71" s="6"/>
      <c r="H71" s="6"/>
      <c r="I71" s="6"/>
      <c r="J71" s="6" t="s">
        <v>75</v>
      </c>
    </row>
    <row r="72" spans="1:19" ht="30" customHeight="1" x14ac:dyDescent="0.3">
      <c r="A72" s="3">
        <v>44895</v>
      </c>
      <c r="B72" s="35">
        <v>3</v>
      </c>
      <c r="C72" s="4" t="s">
        <v>76</v>
      </c>
      <c r="D72" s="5" t="s">
        <v>77</v>
      </c>
      <c r="E72" s="5" t="s">
        <v>78</v>
      </c>
      <c r="F72" s="5" t="s">
        <v>79</v>
      </c>
      <c r="G72" s="6"/>
      <c r="H72" s="6"/>
      <c r="I72" s="6"/>
      <c r="J72" s="6" t="s">
        <v>80</v>
      </c>
    </row>
    <row r="73" spans="1:19" ht="30" customHeight="1" x14ac:dyDescent="0.3">
      <c r="A73" s="8">
        <v>44901</v>
      </c>
      <c r="B73" s="36">
        <v>2</v>
      </c>
      <c r="C73" s="4" t="s">
        <v>81</v>
      </c>
      <c r="D73" s="5" t="s">
        <v>146</v>
      </c>
      <c r="E73" s="5" t="s">
        <v>82</v>
      </c>
      <c r="F73" s="5" t="s">
        <v>83</v>
      </c>
      <c r="G73" s="6"/>
      <c r="H73" s="6"/>
      <c r="I73" s="6"/>
      <c r="J73" s="6" t="s">
        <v>295</v>
      </c>
    </row>
    <row r="74" spans="1:19" ht="30" customHeight="1" x14ac:dyDescent="0.3">
      <c r="A74" s="8">
        <v>44930</v>
      </c>
      <c r="B74" s="35">
        <v>4</v>
      </c>
      <c r="C74" s="4" t="s">
        <v>84</v>
      </c>
      <c r="D74" s="5" t="s">
        <v>85</v>
      </c>
      <c r="E74" s="5" t="s">
        <v>86</v>
      </c>
      <c r="F74" s="5"/>
      <c r="G74" s="6"/>
      <c r="H74" s="6"/>
      <c r="I74" s="6"/>
      <c r="J74" s="6" t="s">
        <v>295</v>
      </c>
    </row>
    <row r="75" spans="1:19" ht="30" customHeight="1" x14ac:dyDescent="0.3">
      <c r="A75" s="8">
        <v>44936</v>
      </c>
      <c r="B75" s="35">
        <v>0</v>
      </c>
      <c r="C75" s="4" t="s">
        <v>47</v>
      </c>
      <c r="D75" s="5" t="s">
        <v>85</v>
      </c>
      <c r="E75" s="5"/>
      <c r="F75" s="5" t="s">
        <v>48</v>
      </c>
      <c r="G75" s="6"/>
      <c r="H75" s="6"/>
      <c r="I75" s="6"/>
      <c r="J75" s="6" t="s">
        <v>87</v>
      </c>
    </row>
    <row r="76" spans="1:19" ht="30" customHeight="1" x14ac:dyDescent="0.3">
      <c r="A76" s="8">
        <v>44957</v>
      </c>
      <c r="B76" s="35">
        <v>3</v>
      </c>
      <c r="C76" s="4" t="s">
        <v>33</v>
      </c>
      <c r="D76" s="5" t="s">
        <v>339</v>
      </c>
      <c r="E76" s="5"/>
      <c r="F76" s="5" t="s">
        <v>88</v>
      </c>
      <c r="G76" s="6"/>
      <c r="H76" s="6"/>
      <c r="I76" s="6"/>
      <c r="J76" s="6" t="s">
        <v>331</v>
      </c>
    </row>
    <row r="77" spans="1:19" ht="30" customHeight="1" x14ac:dyDescent="0.3">
      <c r="A77" s="3">
        <v>44980</v>
      </c>
      <c r="B77" s="35">
        <v>2</v>
      </c>
      <c r="C77" s="4" t="s">
        <v>89</v>
      </c>
      <c r="D77" s="5" t="s">
        <v>90</v>
      </c>
      <c r="E77" s="5" t="s">
        <v>91</v>
      </c>
      <c r="F77" s="5"/>
      <c r="G77" s="6"/>
      <c r="H77" s="6"/>
      <c r="I77" s="6"/>
      <c r="J77" s="6" t="s">
        <v>298</v>
      </c>
    </row>
    <row r="78" spans="1:19" ht="30" customHeight="1" x14ac:dyDescent="0.3">
      <c r="A78" s="3">
        <v>44991</v>
      </c>
      <c r="B78" s="35">
        <v>2</v>
      </c>
      <c r="C78" s="4" t="s">
        <v>92</v>
      </c>
      <c r="D78" s="5" t="s">
        <v>77</v>
      </c>
      <c r="E78" s="5"/>
      <c r="F78" s="5" t="s">
        <v>93</v>
      </c>
      <c r="G78" s="6"/>
      <c r="H78" s="6"/>
      <c r="I78" s="6"/>
      <c r="J78" s="6" t="s">
        <v>295</v>
      </c>
    </row>
    <row r="79" spans="1:19" ht="30" customHeight="1" x14ac:dyDescent="0.3">
      <c r="A79" s="3">
        <v>44993</v>
      </c>
      <c r="B79" s="35">
        <v>3</v>
      </c>
      <c r="C79" s="4" t="s">
        <v>323</v>
      </c>
      <c r="D79" s="5" t="s">
        <v>332</v>
      </c>
      <c r="E79" s="5"/>
      <c r="F79" s="5" t="s">
        <v>94</v>
      </c>
      <c r="G79" s="6"/>
      <c r="H79" s="6"/>
      <c r="I79" s="6"/>
      <c r="J79" s="6" t="s">
        <v>299</v>
      </c>
    </row>
    <row r="80" spans="1:19" ht="30" customHeight="1" x14ac:dyDescent="0.3">
      <c r="A80" s="3">
        <v>45007</v>
      </c>
      <c r="B80" s="35">
        <v>2</v>
      </c>
      <c r="C80" s="4" t="s">
        <v>95</v>
      </c>
      <c r="D80" s="5" t="s">
        <v>146</v>
      </c>
      <c r="E80" s="5"/>
      <c r="F80" s="5" t="s">
        <v>96</v>
      </c>
      <c r="G80" s="6"/>
      <c r="H80" s="6"/>
      <c r="I80" s="6"/>
      <c r="J80" s="6" t="s">
        <v>295</v>
      </c>
    </row>
    <row r="81" spans="1:10" ht="30" customHeight="1" x14ac:dyDescent="0.3">
      <c r="A81" s="3">
        <v>45027</v>
      </c>
      <c r="B81" s="36">
        <v>2</v>
      </c>
      <c r="C81" s="4" t="s">
        <v>7</v>
      </c>
      <c r="D81" s="5" t="s">
        <v>146</v>
      </c>
      <c r="E81" s="5" t="s">
        <v>97</v>
      </c>
      <c r="F81" s="5" t="s">
        <v>98</v>
      </c>
      <c r="G81" s="6"/>
      <c r="H81" s="6"/>
      <c r="I81" s="6"/>
      <c r="J81" s="6" t="s">
        <v>99</v>
      </c>
    </row>
    <row r="82" spans="1:10" ht="30" customHeight="1" x14ac:dyDescent="0.3">
      <c r="A82" s="3">
        <v>45034</v>
      </c>
      <c r="B82" s="35">
        <v>3</v>
      </c>
      <c r="C82" s="4" t="s">
        <v>100</v>
      </c>
      <c r="D82" s="5" t="s">
        <v>288</v>
      </c>
      <c r="E82" s="5"/>
      <c r="F82" s="5"/>
      <c r="G82" s="6"/>
      <c r="H82" s="6"/>
      <c r="I82" s="6"/>
      <c r="J82" s="6" t="s">
        <v>295</v>
      </c>
    </row>
    <row r="83" spans="1:10" ht="30" customHeight="1" x14ac:dyDescent="0.3">
      <c r="A83" s="3">
        <v>45041</v>
      </c>
      <c r="B83" s="35">
        <v>3</v>
      </c>
      <c r="C83" s="4" t="s">
        <v>101</v>
      </c>
      <c r="D83" s="5" t="s">
        <v>146</v>
      </c>
      <c r="E83" s="5"/>
      <c r="F83" s="5" t="s">
        <v>102</v>
      </c>
      <c r="G83" s="6"/>
      <c r="H83" s="6"/>
      <c r="I83" s="6"/>
      <c r="J83" s="6" t="s">
        <v>295</v>
      </c>
    </row>
    <row r="84" spans="1:10" ht="30" customHeight="1" x14ac:dyDescent="0.3">
      <c r="A84" s="3">
        <v>45042</v>
      </c>
      <c r="B84" s="35">
        <v>2</v>
      </c>
      <c r="C84" s="4" t="s">
        <v>19</v>
      </c>
      <c r="D84" s="5" t="s">
        <v>77</v>
      </c>
      <c r="E84" s="5" t="s">
        <v>103</v>
      </c>
      <c r="F84" s="5" t="s">
        <v>104</v>
      </c>
      <c r="G84" s="6"/>
      <c r="H84" s="6"/>
      <c r="I84" s="6"/>
      <c r="J84" s="6" t="s">
        <v>295</v>
      </c>
    </row>
    <row r="85" spans="1:10" ht="30" customHeight="1" x14ac:dyDescent="0.3">
      <c r="A85" s="8">
        <v>45049</v>
      </c>
      <c r="B85" s="35">
        <v>3</v>
      </c>
      <c r="C85" s="4" t="s">
        <v>105</v>
      </c>
      <c r="D85" s="5" t="s">
        <v>42</v>
      </c>
      <c r="E85" s="5"/>
      <c r="F85" s="5"/>
      <c r="G85" s="6"/>
      <c r="H85" s="6"/>
      <c r="I85" s="6"/>
      <c r="J85" s="6" t="s">
        <v>43</v>
      </c>
    </row>
    <row r="86" spans="1:10" ht="30" customHeight="1" x14ac:dyDescent="0.3">
      <c r="A86" s="8">
        <v>45056</v>
      </c>
      <c r="B86" s="35">
        <v>2</v>
      </c>
      <c r="C86" s="4" t="s">
        <v>19</v>
      </c>
      <c r="D86" s="5" t="s">
        <v>77</v>
      </c>
      <c r="E86" s="5" t="s">
        <v>106</v>
      </c>
      <c r="F86" s="5" t="s">
        <v>107</v>
      </c>
      <c r="G86" s="6"/>
      <c r="H86" s="6"/>
      <c r="I86" s="6"/>
      <c r="J86" s="6" t="s">
        <v>295</v>
      </c>
    </row>
    <row r="87" spans="1:10" ht="30" customHeight="1" x14ac:dyDescent="0.3">
      <c r="A87" s="8">
        <v>45061</v>
      </c>
      <c r="B87" s="35">
        <v>1</v>
      </c>
      <c r="C87" s="4" t="s">
        <v>108</v>
      </c>
      <c r="D87" s="5" t="s">
        <v>144</v>
      </c>
      <c r="E87" s="5"/>
      <c r="F87" s="5"/>
      <c r="G87" s="6"/>
      <c r="H87" s="6"/>
      <c r="I87" s="6"/>
      <c r="J87" s="6" t="s">
        <v>109</v>
      </c>
    </row>
    <row r="88" spans="1:10" ht="30" customHeight="1" x14ac:dyDescent="0.3">
      <c r="A88" s="3">
        <v>45068</v>
      </c>
      <c r="B88" s="35">
        <v>2</v>
      </c>
      <c r="C88" s="4" t="s">
        <v>110</v>
      </c>
      <c r="D88" s="5" t="s">
        <v>111</v>
      </c>
      <c r="E88" s="5" t="s">
        <v>112</v>
      </c>
      <c r="F88" s="5" t="s">
        <v>113</v>
      </c>
      <c r="G88" s="6"/>
      <c r="H88" s="6"/>
      <c r="I88" s="6"/>
      <c r="J88" s="6" t="s">
        <v>114</v>
      </c>
    </row>
    <row r="89" spans="1:10" ht="30" customHeight="1" x14ac:dyDescent="0.3">
      <c r="A89" s="3">
        <v>45082</v>
      </c>
      <c r="B89" s="35">
        <v>2</v>
      </c>
      <c r="C89" s="4" t="s">
        <v>7</v>
      </c>
      <c r="D89" s="5" t="s">
        <v>146</v>
      </c>
      <c r="E89" s="5"/>
      <c r="F89" s="5" t="s">
        <v>53</v>
      </c>
      <c r="G89" s="6"/>
      <c r="H89" s="6"/>
      <c r="I89" s="6"/>
      <c r="J89" s="6" t="s">
        <v>295</v>
      </c>
    </row>
    <row r="90" spans="1:10" ht="30" customHeight="1" x14ac:dyDescent="0.3">
      <c r="A90" s="3">
        <v>45089</v>
      </c>
      <c r="B90" s="35">
        <v>1</v>
      </c>
      <c r="C90" s="4" t="s">
        <v>47</v>
      </c>
      <c r="D90" s="5" t="s">
        <v>340</v>
      </c>
      <c r="E90" s="5" t="s">
        <v>115</v>
      </c>
      <c r="F90" s="5"/>
      <c r="G90" s="6"/>
      <c r="H90" s="6"/>
      <c r="I90" s="6"/>
      <c r="J90" s="6" t="s">
        <v>295</v>
      </c>
    </row>
    <row r="91" spans="1:10" ht="30" customHeight="1" x14ac:dyDescent="0.3">
      <c r="A91" s="3">
        <v>45090</v>
      </c>
      <c r="B91" s="35">
        <v>1</v>
      </c>
      <c r="C91" s="4" t="s">
        <v>47</v>
      </c>
      <c r="D91" s="5" t="s">
        <v>116</v>
      </c>
      <c r="E91" s="5"/>
      <c r="F91" s="5" t="s">
        <v>117</v>
      </c>
      <c r="G91" s="6"/>
      <c r="H91" s="6"/>
      <c r="I91" s="6"/>
      <c r="J91" s="6" t="s">
        <v>295</v>
      </c>
    </row>
    <row r="92" spans="1:10" ht="30" customHeight="1" x14ac:dyDescent="0.3">
      <c r="A92" s="3">
        <v>45105</v>
      </c>
      <c r="B92" s="35">
        <v>2</v>
      </c>
      <c r="C92" s="4" t="s">
        <v>118</v>
      </c>
      <c r="D92" s="5" t="s">
        <v>333</v>
      </c>
      <c r="E92" s="5" t="s">
        <v>12</v>
      </c>
      <c r="F92" s="5"/>
      <c r="G92" s="6"/>
      <c r="H92" s="6"/>
      <c r="I92" s="6"/>
      <c r="J92" s="6" t="s">
        <v>300</v>
      </c>
    </row>
    <row r="93" spans="1:10" ht="30" customHeight="1" x14ac:dyDescent="0.3">
      <c r="A93" s="3">
        <v>45119</v>
      </c>
      <c r="B93" s="35">
        <v>1</v>
      </c>
      <c r="C93" s="4" t="s">
        <v>19</v>
      </c>
      <c r="D93" s="5" t="s">
        <v>77</v>
      </c>
      <c r="E93" s="5"/>
      <c r="F93" s="5" t="s">
        <v>119</v>
      </c>
      <c r="G93" s="6"/>
      <c r="H93" s="6"/>
      <c r="I93" s="6"/>
      <c r="J93" s="6" t="s">
        <v>295</v>
      </c>
    </row>
    <row r="94" spans="1:10" ht="30" customHeight="1" x14ac:dyDescent="0.3">
      <c r="A94" s="8">
        <v>45128</v>
      </c>
      <c r="B94" s="35">
        <v>2</v>
      </c>
      <c r="C94" s="4" t="s">
        <v>50</v>
      </c>
      <c r="D94" s="5" t="s">
        <v>334</v>
      </c>
      <c r="E94" s="5"/>
      <c r="F94" s="5"/>
      <c r="G94" s="6"/>
      <c r="H94" s="6"/>
      <c r="I94" s="6"/>
      <c r="J94" s="6" t="s">
        <v>51</v>
      </c>
    </row>
    <row r="95" spans="1:10" ht="30" customHeight="1" x14ac:dyDescent="0.3">
      <c r="A95" s="8">
        <v>45166</v>
      </c>
      <c r="B95" s="35">
        <v>1</v>
      </c>
      <c r="C95" s="4" t="s">
        <v>28</v>
      </c>
      <c r="D95" s="5" t="s">
        <v>209</v>
      </c>
      <c r="E95" s="5" t="s">
        <v>29</v>
      </c>
      <c r="F95" s="5"/>
      <c r="G95" s="6"/>
      <c r="H95" s="6"/>
      <c r="I95" s="6"/>
      <c r="J95" s="6" t="s">
        <v>120</v>
      </c>
    </row>
    <row r="96" spans="1:10" ht="30" customHeight="1" x14ac:dyDescent="0.3">
      <c r="A96" s="8">
        <v>45182</v>
      </c>
      <c r="B96" s="35">
        <v>2</v>
      </c>
      <c r="C96" s="4" t="s">
        <v>15</v>
      </c>
      <c r="D96" s="5" t="s">
        <v>144</v>
      </c>
      <c r="E96" s="5" t="s">
        <v>121</v>
      </c>
      <c r="F96" s="5"/>
      <c r="G96" s="6"/>
      <c r="H96" s="6"/>
      <c r="I96" s="6"/>
      <c r="J96" s="6" t="s">
        <v>301</v>
      </c>
    </row>
    <row r="97" spans="1:19" ht="30" customHeight="1" x14ac:dyDescent="0.3">
      <c r="A97" s="8">
        <v>45187</v>
      </c>
      <c r="B97" s="35">
        <v>3</v>
      </c>
      <c r="C97" s="4" t="s">
        <v>123</v>
      </c>
      <c r="D97" s="5" t="s">
        <v>146</v>
      </c>
      <c r="E97" s="5"/>
      <c r="F97" s="5" t="s">
        <v>124</v>
      </c>
      <c r="G97" s="6"/>
      <c r="H97" s="6"/>
      <c r="I97" s="6"/>
      <c r="J97" s="6" t="s">
        <v>10</v>
      </c>
    </row>
    <row r="98" spans="1:19" s="1" customFormat="1" ht="30" customHeight="1" x14ac:dyDescent="0.3">
      <c r="A98" s="9">
        <v>45197</v>
      </c>
      <c r="B98" s="37">
        <v>2</v>
      </c>
      <c r="C98" s="11" t="s">
        <v>125</v>
      </c>
      <c r="D98" s="10" t="s">
        <v>77</v>
      </c>
      <c r="E98" s="10"/>
      <c r="F98" s="10" t="s">
        <v>126</v>
      </c>
      <c r="G98" s="12"/>
      <c r="H98" s="12"/>
      <c r="I98" s="12"/>
      <c r="J98" s="12" t="s">
        <v>122</v>
      </c>
    </row>
    <row r="99" spans="1:19" s="1" customFormat="1" ht="30" customHeight="1" x14ac:dyDescent="0.3">
      <c r="A99" s="9">
        <v>45208</v>
      </c>
      <c r="B99" s="37">
        <v>3</v>
      </c>
      <c r="C99" s="11" t="s">
        <v>7</v>
      </c>
      <c r="D99" s="10" t="s">
        <v>245</v>
      </c>
      <c r="E99" s="10" t="s">
        <v>127</v>
      </c>
      <c r="F99" s="10" t="s">
        <v>67</v>
      </c>
      <c r="G99" s="12"/>
      <c r="H99" s="12"/>
      <c r="I99" s="12"/>
      <c r="J99" s="12" t="s">
        <v>302</v>
      </c>
    </row>
    <row r="100" spans="1:19" ht="30" customHeight="1" x14ac:dyDescent="0.3">
      <c r="A100" s="8">
        <v>45209</v>
      </c>
      <c r="B100" s="35">
        <v>2</v>
      </c>
      <c r="C100" s="4" t="s">
        <v>19</v>
      </c>
      <c r="D100" s="5" t="s">
        <v>146</v>
      </c>
      <c r="E100" s="5" t="s">
        <v>128</v>
      </c>
      <c r="F100" s="5" t="s">
        <v>129</v>
      </c>
      <c r="G100" s="6"/>
      <c r="H100" s="6"/>
      <c r="I100" s="6"/>
      <c r="J100" s="6" t="s">
        <v>303</v>
      </c>
    </row>
    <row r="101" spans="1:19" ht="30" customHeight="1" x14ac:dyDescent="0.3">
      <c r="A101" s="8">
        <v>45218</v>
      </c>
      <c r="B101" s="35">
        <v>1</v>
      </c>
      <c r="C101" s="4" t="s">
        <v>130</v>
      </c>
      <c r="D101" s="5" t="s">
        <v>36</v>
      </c>
      <c r="E101" s="5" t="s">
        <v>131</v>
      </c>
      <c r="F101" s="5"/>
      <c r="G101" s="6"/>
      <c r="H101" s="6"/>
      <c r="I101" s="6"/>
      <c r="J101" s="6" t="s">
        <v>132</v>
      </c>
    </row>
    <row r="102" spans="1:19" ht="30" customHeight="1" x14ac:dyDescent="0.3">
      <c r="A102" s="8">
        <v>45222</v>
      </c>
      <c r="B102" s="35">
        <v>3</v>
      </c>
      <c r="C102" s="4" t="s">
        <v>92</v>
      </c>
      <c r="D102" s="5" t="s">
        <v>77</v>
      </c>
      <c r="E102" s="5" t="s">
        <v>133</v>
      </c>
      <c r="F102" s="5" t="s">
        <v>134</v>
      </c>
      <c r="G102" s="6"/>
      <c r="H102" s="6"/>
      <c r="I102" s="6"/>
      <c r="J102" s="6" t="s">
        <v>135</v>
      </c>
    </row>
    <row r="103" spans="1:19" ht="30" customHeight="1" x14ac:dyDescent="0.3">
      <c r="A103" s="9">
        <v>45224</v>
      </c>
      <c r="B103" s="37">
        <v>2</v>
      </c>
      <c r="C103" s="11" t="s">
        <v>136</v>
      </c>
      <c r="D103" s="10" t="s">
        <v>341</v>
      </c>
      <c r="E103" s="10"/>
      <c r="F103" s="10" t="s">
        <v>49</v>
      </c>
      <c r="G103" s="12"/>
      <c r="H103" s="12"/>
      <c r="I103" s="12"/>
      <c r="J103" s="12" t="s">
        <v>137</v>
      </c>
    </row>
    <row r="104" spans="1:19" ht="28.8" x14ac:dyDescent="0.3">
      <c r="A104" s="13">
        <v>45224</v>
      </c>
      <c r="B104" s="37">
        <v>2</v>
      </c>
      <c r="C104" s="11" t="s">
        <v>19</v>
      </c>
      <c r="D104" s="10" t="s">
        <v>146</v>
      </c>
      <c r="E104" s="10"/>
      <c r="F104" s="10" t="s">
        <v>138</v>
      </c>
      <c r="G104" s="12"/>
      <c r="H104" s="12"/>
      <c r="I104" s="12"/>
      <c r="J104" s="12" t="s">
        <v>139</v>
      </c>
    </row>
    <row r="105" spans="1:19" ht="30" customHeight="1" x14ac:dyDescent="0.3">
      <c r="A105" s="14">
        <v>45230</v>
      </c>
      <c r="B105" s="38">
        <v>2</v>
      </c>
      <c r="C105" s="15" t="s">
        <v>68</v>
      </c>
      <c r="D105" s="15" t="s">
        <v>144</v>
      </c>
      <c r="E105" s="16" t="s">
        <v>140</v>
      </c>
      <c r="F105" s="16"/>
      <c r="G105" s="17"/>
      <c r="H105" s="17"/>
      <c r="I105" s="17"/>
      <c r="J105" s="17" t="s">
        <v>304</v>
      </c>
      <c r="S105"/>
    </row>
    <row r="106" spans="1:19" ht="30" customHeight="1" x14ac:dyDescent="0.3">
      <c r="A106" s="3">
        <v>45237</v>
      </c>
      <c r="B106" s="34">
        <v>3</v>
      </c>
      <c r="C106" s="4" t="s">
        <v>23</v>
      </c>
      <c r="D106" s="4" t="s">
        <v>146</v>
      </c>
      <c r="E106" s="5"/>
      <c r="F106" s="5" t="s">
        <v>24</v>
      </c>
      <c r="G106" s="6"/>
      <c r="H106" s="6"/>
      <c r="I106" s="6"/>
      <c r="J106" s="6" t="s">
        <v>335</v>
      </c>
      <c r="S106"/>
    </row>
    <row r="107" spans="1:19" ht="30" customHeight="1" x14ac:dyDescent="0.3">
      <c r="A107" s="3">
        <v>45259</v>
      </c>
      <c r="B107" s="34">
        <v>3</v>
      </c>
      <c r="C107" s="4" t="s">
        <v>76</v>
      </c>
      <c r="D107" s="4" t="s">
        <v>77</v>
      </c>
      <c r="E107" s="5" t="s">
        <v>78</v>
      </c>
      <c r="F107" s="5" t="s">
        <v>79</v>
      </c>
      <c r="G107" s="6"/>
      <c r="H107" s="6"/>
      <c r="I107" s="6"/>
      <c r="J107" s="6" t="s">
        <v>305</v>
      </c>
      <c r="S107"/>
    </row>
    <row r="108" spans="1:19" ht="30" customHeight="1" x14ac:dyDescent="0.3">
      <c r="A108" s="13">
        <v>45264</v>
      </c>
      <c r="B108" s="37">
        <v>2</v>
      </c>
      <c r="C108" s="11" t="s">
        <v>19</v>
      </c>
      <c r="D108" s="10" t="s">
        <v>288</v>
      </c>
      <c r="E108" s="10" t="s">
        <v>142</v>
      </c>
      <c r="F108" s="10"/>
      <c r="G108" s="12"/>
      <c r="H108" s="12"/>
      <c r="I108" s="12"/>
      <c r="J108" s="12" t="s">
        <v>306</v>
      </c>
    </row>
    <row r="109" spans="1:19" ht="30" customHeight="1" x14ac:dyDescent="0.3">
      <c r="A109" s="32">
        <v>45268</v>
      </c>
      <c r="B109" s="39">
        <v>1</v>
      </c>
      <c r="C109" s="10" t="s">
        <v>47</v>
      </c>
      <c r="D109" s="10" t="s">
        <v>85</v>
      </c>
      <c r="E109" s="10"/>
      <c r="F109" s="10"/>
      <c r="G109" s="12"/>
      <c r="H109" s="12"/>
      <c r="I109" s="12"/>
      <c r="J109" s="12" t="s">
        <v>143</v>
      </c>
    </row>
    <row r="110" spans="1:19" ht="30" customHeight="1" x14ac:dyDescent="0.3">
      <c r="A110" s="18">
        <v>45300</v>
      </c>
      <c r="B110" s="40">
        <v>0</v>
      </c>
      <c r="C110" s="20" t="s">
        <v>47</v>
      </c>
      <c r="D110" s="19" t="s">
        <v>85</v>
      </c>
      <c r="E110" s="19"/>
      <c r="F110" s="19" t="s">
        <v>48</v>
      </c>
      <c r="G110" s="21"/>
      <c r="H110" s="21"/>
      <c r="I110" s="21"/>
      <c r="J110" s="21" t="s">
        <v>87</v>
      </c>
    </row>
    <row r="111" spans="1:19" ht="30" customHeight="1" x14ac:dyDescent="0.3">
      <c r="A111" s="18">
        <v>45321</v>
      </c>
      <c r="B111" s="40">
        <v>3</v>
      </c>
      <c r="C111" s="20" t="s">
        <v>33</v>
      </c>
      <c r="D111" s="19" t="s">
        <v>144</v>
      </c>
      <c r="E111" s="19"/>
      <c r="F111" s="19" t="s">
        <v>88</v>
      </c>
      <c r="G111" s="21"/>
      <c r="H111" s="21"/>
      <c r="I111" s="21"/>
      <c r="J111" s="21" t="s">
        <v>295</v>
      </c>
    </row>
    <row r="112" spans="1:19" ht="30" customHeight="1" x14ac:dyDescent="0.3">
      <c r="A112" s="18">
        <v>45327</v>
      </c>
      <c r="B112" s="40">
        <v>1</v>
      </c>
      <c r="C112" s="20" t="s">
        <v>145</v>
      </c>
      <c r="D112" s="19" t="s">
        <v>146</v>
      </c>
      <c r="E112" s="19"/>
      <c r="F112" s="19"/>
      <c r="G112" s="21"/>
      <c r="H112" s="21"/>
      <c r="I112" s="21"/>
      <c r="J112" s="21" t="s">
        <v>147</v>
      </c>
    </row>
    <row r="113" spans="1:10" ht="30" customHeight="1" x14ac:dyDescent="0.3">
      <c r="A113" s="18">
        <v>45357</v>
      </c>
      <c r="B113" s="40">
        <v>3</v>
      </c>
      <c r="C113" s="20" t="s">
        <v>148</v>
      </c>
      <c r="D113" s="19" t="s">
        <v>77</v>
      </c>
      <c r="E113" s="19"/>
      <c r="F113" s="19" t="s">
        <v>149</v>
      </c>
      <c r="G113" s="21"/>
      <c r="H113" s="21"/>
      <c r="I113" s="21"/>
      <c r="J113" s="21" t="s">
        <v>150</v>
      </c>
    </row>
    <row r="114" spans="1:10" ht="30" customHeight="1" x14ac:dyDescent="0.3">
      <c r="A114" s="18">
        <v>45364</v>
      </c>
      <c r="B114" s="40">
        <v>2</v>
      </c>
      <c r="C114" s="19" t="s">
        <v>324</v>
      </c>
      <c r="D114" s="19" t="s">
        <v>146</v>
      </c>
      <c r="E114" s="19"/>
      <c r="F114" s="19" t="s">
        <v>94</v>
      </c>
      <c r="G114" s="21"/>
      <c r="H114" s="21"/>
      <c r="I114" s="21"/>
      <c r="J114" s="21" t="s">
        <v>151</v>
      </c>
    </row>
    <row r="115" spans="1:10" ht="30" customHeight="1" x14ac:dyDescent="0.3">
      <c r="A115" s="22">
        <v>45407</v>
      </c>
      <c r="B115" s="40">
        <v>2</v>
      </c>
      <c r="C115" s="20" t="s">
        <v>152</v>
      </c>
      <c r="D115" s="19" t="s">
        <v>77</v>
      </c>
      <c r="E115" s="19"/>
      <c r="F115" s="19" t="s">
        <v>126</v>
      </c>
      <c r="G115" s="21"/>
      <c r="H115" s="21"/>
      <c r="I115" s="21"/>
      <c r="J115" s="21" t="s">
        <v>295</v>
      </c>
    </row>
    <row r="116" spans="1:10" ht="30" customHeight="1" x14ac:dyDescent="0.3">
      <c r="A116" s="18">
        <v>45413</v>
      </c>
      <c r="B116" s="40">
        <v>3</v>
      </c>
      <c r="C116" s="20" t="s">
        <v>153</v>
      </c>
      <c r="D116" s="19" t="s">
        <v>85</v>
      </c>
      <c r="E116" s="19"/>
      <c r="F116" s="19" t="s">
        <v>154</v>
      </c>
      <c r="G116" s="21"/>
      <c r="H116" s="21"/>
      <c r="I116" s="21"/>
      <c r="J116" s="21" t="s">
        <v>295</v>
      </c>
    </row>
    <row r="117" spans="1:10" ht="30" customHeight="1" x14ac:dyDescent="0.3">
      <c r="A117" s="18">
        <v>45433</v>
      </c>
      <c r="B117" s="40">
        <v>2</v>
      </c>
      <c r="C117" s="20" t="s">
        <v>41</v>
      </c>
      <c r="D117" s="19" t="s">
        <v>155</v>
      </c>
      <c r="E117" s="19"/>
      <c r="F117" s="19" t="s">
        <v>49</v>
      </c>
      <c r="G117" s="21"/>
      <c r="H117" s="21"/>
      <c r="I117" s="21"/>
      <c r="J117" s="21" t="s">
        <v>295</v>
      </c>
    </row>
    <row r="118" spans="1:10" ht="30" customHeight="1" x14ac:dyDescent="0.3">
      <c r="A118" s="18">
        <v>45434</v>
      </c>
      <c r="B118" s="40">
        <v>2</v>
      </c>
      <c r="C118" s="20" t="s">
        <v>19</v>
      </c>
      <c r="D118" s="19" t="s">
        <v>77</v>
      </c>
      <c r="E118" s="19" t="s">
        <v>156</v>
      </c>
      <c r="F118" s="19" t="s">
        <v>107</v>
      </c>
      <c r="G118" s="21"/>
      <c r="H118" s="21"/>
      <c r="I118" s="21"/>
      <c r="J118" s="21" t="s">
        <v>295</v>
      </c>
    </row>
    <row r="119" spans="1:10" ht="30" customHeight="1" x14ac:dyDescent="0.3">
      <c r="A119" s="22">
        <v>45448</v>
      </c>
      <c r="B119" s="41" t="s">
        <v>157</v>
      </c>
      <c r="C119" s="20" t="s">
        <v>7</v>
      </c>
      <c r="D119" s="19" t="s">
        <v>77</v>
      </c>
      <c r="E119" s="19" t="s">
        <v>158</v>
      </c>
      <c r="F119" s="19" t="s">
        <v>98</v>
      </c>
      <c r="G119" s="21"/>
      <c r="H119" s="21"/>
      <c r="I119" s="21"/>
      <c r="J119" s="21" t="s">
        <v>99</v>
      </c>
    </row>
    <row r="120" spans="1:10" ht="30" customHeight="1" x14ac:dyDescent="0.3">
      <c r="A120" s="22">
        <v>45496</v>
      </c>
      <c r="B120" s="41" t="s">
        <v>159</v>
      </c>
      <c r="C120" s="20" t="s">
        <v>47</v>
      </c>
      <c r="D120" s="19" t="s">
        <v>160</v>
      </c>
      <c r="E120" s="19"/>
      <c r="F120" s="19" t="s">
        <v>117</v>
      </c>
      <c r="G120" s="21"/>
      <c r="H120" s="21"/>
      <c r="I120" s="21"/>
      <c r="J120" s="21" t="s">
        <v>295</v>
      </c>
    </row>
    <row r="121" spans="1:10" ht="30" customHeight="1" x14ac:dyDescent="0.3">
      <c r="A121" s="22">
        <v>45502</v>
      </c>
      <c r="B121" s="40">
        <v>2</v>
      </c>
      <c r="C121" s="20" t="s">
        <v>118</v>
      </c>
      <c r="D121" s="19" t="s">
        <v>333</v>
      </c>
      <c r="E121" s="19" t="s">
        <v>161</v>
      </c>
      <c r="F121" s="19"/>
      <c r="G121" s="21"/>
      <c r="H121" s="21"/>
      <c r="I121" s="21"/>
      <c r="J121" s="21" t="s">
        <v>162</v>
      </c>
    </row>
    <row r="122" spans="1:10" ht="30" customHeight="1" x14ac:dyDescent="0.3">
      <c r="A122" s="18">
        <v>45540</v>
      </c>
      <c r="B122" s="40">
        <v>1</v>
      </c>
      <c r="C122" s="20" t="s">
        <v>163</v>
      </c>
      <c r="D122" s="19" t="s">
        <v>164</v>
      </c>
      <c r="E122" s="19"/>
      <c r="F122" s="19" t="s">
        <v>165</v>
      </c>
      <c r="G122" s="21"/>
      <c r="H122" s="21"/>
      <c r="I122" s="21"/>
      <c r="J122" s="21" t="s">
        <v>295</v>
      </c>
    </row>
    <row r="123" spans="1:10" ht="30" customHeight="1" x14ac:dyDescent="0.3">
      <c r="A123" s="22">
        <v>45546</v>
      </c>
      <c r="B123" s="40">
        <v>1</v>
      </c>
      <c r="C123" s="20" t="s">
        <v>47</v>
      </c>
      <c r="D123" s="19" t="s">
        <v>188</v>
      </c>
      <c r="E123" s="19"/>
      <c r="F123" s="19" t="s">
        <v>166</v>
      </c>
      <c r="G123" s="21"/>
      <c r="H123" s="21"/>
      <c r="I123" s="21"/>
      <c r="J123" s="21" t="s">
        <v>295</v>
      </c>
    </row>
    <row r="124" spans="1:10" ht="30" customHeight="1" x14ac:dyDescent="0.3">
      <c r="A124" s="18">
        <v>45552</v>
      </c>
      <c r="B124" s="40">
        <v>2</v>
      </c>
      <c r="C124" s="20" t="s">
        <v>19</v>
      </c>
      <c r="D124" s="19" t="s">
        <v>146</v>
      </c>
      <c r="E124" s="19" t="s">
        <v>167</v>
      </c>
      <c r="F124" s="19" t="s">
        <v>168</v>
      </c>
      <c r="G124" s="21"/>
      <c r="H124" s="21"/>
      <c r="I124" s="21"/>
      <c r="J124" s="21" t="s">
        <v>169</v>
      </c>
    </row>
    <row r="125" spans="1:10" ht="30" customHeight="1" x14ac:dyDescent="0.3">
      <c r="A125" s="22">
        <v>45558</v>
      </c>
      <c r="B125" s="40">
        <v>1</v>
      </c>
      <c r="C125" s="20" t="s">
        <v>47</v>
      </c>
      <c r="D125" s="19" t="s">
        <v>288</v>
      </c>
      <c r="E125" s="19" t="s">
        <v>115</v>
      </c>
      <c r="F125" s="19"/>
      <c r="G125" s="21"/>
      <c r="H125" s="21"/>
      <c r="I125" s="21"/>
      <c r="J125" s="21" t="s">
        <v>295</v>
      </c>
    </row>
    <row r="126" spans="1:10" ht="30" customHeight="1" x14ac:dyDescent="0.3">
      <c r="A126" s="18">
        <v>45565</v>
      </c>
      <c r="B126" s="40">
        <v>3</v>
      </c>
      <c r="C126" s="20" t="s">
        <v>63</v>
      </c>
      <c r="D126" s="19" t="s">
        <v>170</v>
      </c>
      <c r="E126" s="19" t="s">
        <v>171</v>
      </c>
      <c r="F126" s="19"/>
      <c r="G126" s="21"/>
      <c r="H126" s="21"/>
      <c r="I126" s="21"/>
      <c r="J126" s="21" t="s">
        <v>172</v>
      </c>
    </row>
    <row r="127" spans="1:10" ht="30" customHeight="1" x14ac:dyDescent="0.3">
      <c r="A127" s="18">
        <v>45573</v>
      </c>
      <c r="B127" s="40">
        <v>2</v>
      </c>
      <c r="C127" s="20" t="s">
        <v>15</v>
      </c>
      <c r="D127" s="19" t="s">
        <v>146</v>
      </c>
      <c r="E127" s="19" t="s">
        <v>173</v>
      </c>
      <c r="F127" s="19"/>
      <c r="G127" s="21"/>
      <c r="H127" s="21"/>
      <c r="I127" s="21"/>
      <c r="J127" s="21" t="s">
        <v>174</v>
      </c>
    </row>
    <row r="128" spans="1:10" ht="30" customHeight="1" x14ac:dyDescent="0.3">
      <c r="A128" s="22">
        <v>45594</v>
      </c>
      <c r="B128" s="40">
        <v>2</v>
      </c>
      <c r="C128" s="19" t="s">
        <v>7</v>
      </c>
      <c r="D128" s="19" t="s">
        <v>175</v>
      </c>
      <c r="E128" s="19" t="s">
        <v>158</v>
      </c>
      <c r="F128" s="19"/>
      <c r="G128" s="21"/>
      <c r="H128" s="21"/>
      <c r="I128" s="21"/>
      <c r="J128" s="21" t="s">
        <v>307</v>
      </c>
    </row>
    <row r="129" spans="1:13" ht="30" customHeight="1" x14ac:dyDescent="0.3">
      <c r="A129" s="22">
        <v>45608</v>
      </c>
      <c r="B129" s="40">
        <v>3</v>
      </c>
      <c r="C129" s="19" t="s">
        <v>19</v>
      </c>
      <c r="D129" s="19" t="s">
        <v>146</v>
      </c>
      <c r="E129" s="19" t="s">
        <v>176</v>
      </c>
      <c r="F129" s="19" t="s">
        <v>177</v>
      </c>
      <c r="G129" s="21"/>
      <c r="H129" s="21"/>
      <c r="I129" s="21"/>
      <c r="J129" s="21" t="s">
        <v>308</v>
      </c>
    </row>
    <row r="130" spans="1:13" ht="30" customHeight="1" x14ac:dyDescent="0.3">
      <c r="A130" s="22">
        <v>45611</v>
      </c>
      <c r="B130" s="40">
        <v>2</v>
      </c>
      <c r="C130" s="20" t="s">
        <v>19</v>
      </c>
      <c r="D130" s="19" t="s">
        <v>77</v>
      </c>
      <c r="E130" s="19" t="s">
        <v>178</v>
      </c>
      <c r="F130" s="19" t="s">
        <v>179</v>
      </c>
      <c r="G130" s="21"/>
      <c r="H130" s="21"/>
      <c r="I130" s="21"/>
      <c r="J130" s="21" t="s">
        <v>295</v>
      </c>
    </row>
    <row r="131" spans="1:13" ht="30" customHeight="1" x14ac:dyDescent="0.3">
      <c r="A131" s="22">
        <v>45614</v>
      </c>
      <c r="B131" s="40">
        <v>2</v>
      </c>
      <c r="C131" s="20" t="s">
        <v>108</v>
      </c>
      <c r="D131" s="19" t="s">
        <v>77</v>
      </c>
      <c r="E131" s="19" t="s">
        <v>180</v>
      </c>
      <c r="F131" s="19"/>
      <c r="G131" s="21"/>
      <c r="H131" s="21"/>
      <c r="I131" s="21"/>
      <c r="J131" s="21" t="s">
        <v>295</v>
      </c>
    </row>
    <row r="132" spans="1:13" ht="30" customHeight="1" x14ac:dyDescent="0.3">
      <c r="A132" s="22">
        <v>45630</v>
      </c>
      <c r="B132" s="40">
        <v>3</v>
      </c>
      <c r="C132" s="20" t="s">
        <v>76</v>
      </c>
      <c r="D132" s="19" t="s">
        <v>77</v>
      </c>
      <c r="E132" s="19" t="s">
        <v>181</v>
      </c>
      <c r="F132" s="19"/>
      <c r="G132" s="21"/>
      <c r="H132" s="21"/>
      <c r="I132" s="21"/>
      <c r="J132" s="21" t="s">
        <v>182</v>
      </c>
    </row>
    <row r="133" spans="1:13" ht="30" customHeight="1" x14ac:dyDescent="0.3">
      <c r="A133" s="22">
        <v>45638</v>
      </c>
      <c r="B133" s="40">
        <v>1</v>
      </c>
      <c r="C133" s="20" t="s">
        <v>19</v>
      </c>
      <c r="D133" s="19" t="s">
        <v>77</v>
      </c>
      <c r="E133" s="19"/>
      <c r="F133" s="19" t="s">
        <v>183</v>
      </c>
      <c r="G133" s="21"/>
      <c r="H133" s="21"/>
      <c r="I133" s="21"/>
      <c r="J133" s="21" t="s">
        <v>295</v>
      </c>
    </row>
    <row r="134" spans="1:13" ht="30" customHeight="1" x14ac:dyDescent="0.3">
      <c r="A134" s="22">
        <v>45639</v>
      </c>
      <c r="B134" s="40">
        <v>1</v>
      </c>
      <c r="C134" s="20" t="s">
        <v>47</v>
      </c>
      <c r="D134" s="19" t="s">
        <v>85</v>
      </c>
      <c r="E134" s="19"/>
      <c r="F134" s="19" t="s">
        <v>184</v>
      </c>
      <c r="G134" s="21"/>
      <c r="H134" s="21"/>
      <c r="I134" s="21"/>
      <c r="J134" s="21" t="s">
        <v>295</v>
      </c>
    </row>
    <row r="135" spans="1:13" ht="30" customHeight="1" x14ac:dyDescent="0.3">
      <c r="A135" s="22">
        <v>45643</v>
      </c>
      <c r="B135" s="40">
        <v>1</v>
      </c>
      <c r="C135" s="20" t="s">
        <v>89</v>
      </c>
      <c r="D135" s="19" t="s">
        <v>146</v>
      </c>
      <c r="E135" s="19" t="s">
        <v>91</v>
      </c>
      <c r="F135" s="19"/>
      <c r="G135" s="21"/>
      <c r="H135" s="21"/>
      <c r="I135" s="21"/>
      <c r="J135" s="21" t="s">
        <v>185</v>
      </c>
    </row>
    <row r="136" spans="1:13" ht="30" customHeight="1" x14ac:dyDescent="0.3">
      <c r="A136" s="18">
        <v>45672</v>
      </c>
      <c r="B136" s="40">
        <v>0</v>
      </c>
      <c r="C136" s="20" t="s">
        <v>47</v>
      </c>
      <c r="D136" s="19" t="s">
        <v>85</v>
      </c>
      <c r="E136" s="19"/>
      <c r="F136" s="19" t="s">
        <v>48</v>
      </c>
      <c r="G136" s="21"/>
      <c r="H136" s="21"/>
      <c r="I136" s="21"/>
      <c r="J136" s="21" t="s">
        <v>309</v>
      </c>
    </row>
    <row r="137" spans="1:13" ht="30" customHeight="1" x14ac:dyDescent="0.3">
      <c r="A137" s="18">
        <v>45685</v>
      </c>
      <c r="B137" s="40">
        <v>3</v>
      </c>
      <c r="C137" s="20" t="s">
        <v>33</v>
      </c>
      <c r="D137" s="19" t="s">
        <v>288</v>
      </c>
      <c r="E137" s="19"/>
      <c r="F137" s="19" t="s">
        <v>88</v>
      </c>
      <c r="G137" s="21"/>
      <c r="H137" s="21"/>
      <c r="I137" s="21"/>
      <c r="J137" s="21" t="s">
        <v>295</v>
      </c>
    </row>
    <row r="138" spans="1:13" ht="30" customHeight="1" x14ac:dyDescent="0.3">
      <c r="A138" s="18">
        <v>45712</v>
      </c>
      <c r="B138" s="40">
        <v>2</v>
      </c>
      <c r="C138" s="20" t="s">
        <v>145</v>
      </c>
      <c r="D138" s="19" t="s">
        <v>146</v>
      </c>
      <c r="E138" s="19" t="s">
        <v>186</v>
      </c>
      <c r="F138" s="19"/>
      <c r="G138" s="21"/>
      <c r="H138" s="21"/>
      <c r="I138" s="21"/>
      <c r="J138" s="21" t="s">
        <v>187</v>
      </c>
    </row>
    <row r="139" spans="1:13" ht="30" customHeight="1" x14ac:dyDescent="0.3">
      <c r="A139" s="18">
        <v>45722</v>
      </c>
      <c r="B139" s="40">
        <v>1</v>
      </c>
      <c r="C139" s="20" t="s">
        <v>28</v>
      </c>
      <c r="D139" s="19" t="s">
        <v>320</v>
      </c>
      <c r="E139" s="20" t="s">
        <v>29</v>
      </c>
      <c r="F139" s="19"/>
      <c r="G139" s="21"/>
      <c r="H139" s="21"/>
      <c r="I139" s="21"/>
      <c r="J139" s="21" t="s">
        <v>295</v>
      </c>
    </row>
    <row r="140" spans="1:13" ht="30" customHeight="1" x14ac:dyDescent="0.3">
      <c r="A140" s="18">
        <v>45722</v>
      </c>
      <c r="B140" s="40">
        <v>2</v>
      </c>
      <c r="C140" s="20" t="s">
        <v>148</v>
      </c>
      <c r="D140" s="19" t="s">
        <v>188</v>
      </c>
      <c r="E140" s="19"/>
      <c r="F140" s="19" t="s">
        <v>189</v>
      </c>
      <c r="G140" s="21"/>
      <c r="H140" s="21"/>
      <c r="I140" s="21"/>
      <c r="J140" s="21" t="s">
        <v>295</v>
      </c>
    </row>
    <row r="141" spans="1:13" ht="30" customHeight="1" x14ac:dyDescent="0.3">
      <c r="A141" s="18">
        <v>45749</v>
      </c>
      <c r="B141" s="40">
        <v>2</v>
      </c>
      <c r="C141" s="20" t="s">
        <v>19</v>
      </c>
      <c r="D141" s="19" t="s">
        <v>190</v>
      </c>
      <c r="E141" s="20" t="s">
        <v>191</v>
      </c>
      <c r="F141" s="19" t="s">
        <v>192</v>
      </c>
      <c r="G141" s="21"/>
      <c r="H141" s="21"/>
      <c r="I141" s="21"/>
      <c r="J141" s="21" t="s">
        <v>193</v>
      </c>
    </row>
    <row r="142" spans="1:13" ht="30" customHeight="1" x14ac:dyDescent="0.3">
      <c r="A142" s="18">
        <v>45783</v>
      </c>
      <c r="B142" s="40">
        <v>3</v>
      </c>
      <c r="C142" s="20" t="s">
        <v>194</v>
      </c>
      <c r="D142" s="19" t="s">
        <v>42</v>
      </c>
      <c r="E142" s="19"/>
      <c r="F142" s="19" t="s">
        <v>195</v>
      </c>
      <c r="G142" s="21"/>
      <c r="H142" s="21"/>
      <c r="I142" s="21"/>
      <c r="J142" s="21" t="s">
        <v>295</v>
      </c>
      <c r="M142" s="23"/>
    </row>
    <row r="143" spans="1:13" ht="30" customHeight="1" x14ac:dyDescent="0.3">
      <c r="A143" s="22">
        <v>45796</v>
      </c>
      <c r="B143" s="40">
        <v>2</v>
      </c>
      <c r="C143" s="20" t="s">
        <v>95</v>
      </c>
      <c r="D143" s="19" t="s">
        <v>321</v>
      </c>
      <c r="E143" s="19"/>
      <c r="F143" s="19" t="s">
        <v>49</v>
      </c>
      <c r="G143" s="21"/>
      <c r="H143" s="21"/>
      <c r="I143" s="21"/>
      <c r="J143" s="21" t="s">
        <v>295</v>
      </c>
    </row>
    <row r="144" spans="1:13" ht="30" customHeight="1" x14ac:dyDescent="0.3">
      <c r="A144" s="18">
        <v>45805</v>
      </c>
      <c r="B144" s="40">
        <v>2</v>
      </c>
      <c r="C144" s="20" t="s">
        <v>196</v>
      </c>
      <c r="D144" s="19" t="s">
        <v>188</v>
      </c>
      <c r="E144" s="20"/>
      <c r="F144" s="19" t="s">
        <v>197</v>
      </c>
      <c r="G144" s="21"/>
      <c r="H144" s="21"/>
      <c r="I144" s="21"/>
      <c r="J144" s="21" t="s">
        <v>310</v>
      </c>
    </row>
    <row r="145" spans="1:19" ht="30" customHeight="1" x14ac:dyDescent="0.3">
      <c r="A145" s="18">
        <v>45811</v>
      </c>
      <c r="B145" s="40">
        <v>2</v>
      </c>
      <c r="C145" s="20" t="s">
        <v>7</v>
      </c>
      <c r="D145" s="19" t="s">
        <v>146</v>
      </c>
      <c r="E145" s="19" t="s">
        <v>198</v>
      </c>
      <c r="F145" s="19" t="s">
        <v>199</v>
      </c>
      <c r="G145" s="21"/>
      <c r="H145" s="21"/>
      <c r="I145" s="21"/>
      <c r="J145" s="21" t="s">
        <v>295</v>
      </c>
    </row>
    <row r="146" spans="1:19" ht="30" customHeight="1" x14ac:dyDescent="0.3">
      <c r="A146" s="18">
        <v>45825</v>
      </c>
      <c r="B146" s="40">
        <v>2</v>
      </c>
      <c r="C146" s="20" t="s">
        <v>108</v>
      </c>
      <c r="D146" s="19" t="s">
        <v>200</v>
      </c>
      <c r="E146" s="19" t="s">
        <v>201</v>
      </c>
      <c r="F146" s="19"/>
      <c r="G146" s="21"/>
      <c r="H146" s="21"/>
      <c r="I146" s="21"/>
      <c r="J146" s="21" t="s">
        <v>202</v>
      </c>
    </row>
    <row r="147" spans="1:19" ht="30" customHeight="1" x14ac:dyDescent="0.3">
      <c r="A147" s="18">
        <v>45831</v>
      </c>
      <c r="B147" s="40">
        <v>2</v>
      </c>
      <c r="C147" s="20" t="s">
        <v>19</v>
      </c>
      <c r="D147" s="19" t="s">
        <v>170</v>
      </c>
      <c r="E147" s="19"/>
      <c r="F147" s="19" t="s">
        <v>93</v>
      </c>
      <c r="G147" s="21"/>
      <c r="H147" s="21"/>
      <c r="I147" s="21"/>
      <c r="J147" s="21" t="s">
        <v>295</v>
      </c>
    </row>
    <row r="148" spans="1:19" ht="30" customHeight="1" x14ac:dyDescent="0.3">
      <c r="A148" s="18">
        <v>45833</v>
      </c>
      <c r="B148" s="40">
        <v>2</v>
      </c>
      <c r="C148" s="20" t="s">
        <v>118</v>
      </c>
      <c r="D148" s="19" t="s">
        <v>322</v>
      </c>
      <c r="E148" s="19" t="s">
        <v>203</v>
      </c>
      <c r="F148" s="19"/>
      <c r="G148" s="21"/>
      <c r="H148" s="21"/>
      <c r="I148" s="21"/>
      <c r="J148" s="21" t="s">
        <v>342</v>
      </c>
    </row>
    <row r="149" spans="1:19" ht="30" customHeight="1" x14ac:dyDescent="0.3">
      <c r="A149" s="22">
        <v>45849</v>
      </c>
      <c r="B149" s="40">
        <v>2</v>
      </c>
      <c r="C149" s="20" t="s">
        <v>50</v>
      </c>
      <c r="D149" s="19" t="s">
        <v>146</v>
      </c>
      <c r="E149" s="19"/>
      <c r="F149" s="19" t="s">
        <v>204</v>
      </c>
      <c r="G149" s="21"/>
      <c r="H149" s="21"/>
      <c r="I149" s="21"/>
      <c r="J149" s="21" t="s">
        <v>295</v>
      </c>
    </row>
    <row r="150" spans="1:19" ht="30" customHeight="1" x14ac:dyDescent="0.3">
      <c r="A150" s="18">
        <v>45874</v>
      </c>
      <c r="B150" s="40">
        <v>3</v>
      </c>
      <c r="C150" s="20" t="s">
        <v>15</v>
      </c>
      <c r="D150" s="19" t="s">
        <v>146</v>
      </c>
      <c r="E150" s="19" t="s">
        <v>173</v>
      </c>
      <c r="F150" s="19" t="s">
        <v>205</v>
      </c>
      <c r="G150" s="21"/>
      <c r="H150" s="21"/>
      <c r="I150" s="21"/>
      <c r="J150" s="21" t="s">
        <v>206</v>
      </c>
    </row>
    <row r="151" spans="1:19" ht="30" customHeight="1" x14ac:dyDescent="0.3">
      <c r="A151" s="18">
        <v>45909</v>
      </c>
      <c r="B151" s="40">
        <v>1</v>
      </c>
      <c r="C151" s="20" t="s">
        <v>19</v>
      </c>
      <c r="D151" s="19" t="s">
        <v>207</v>
      </c>
      <c r="E151" s="19"/>
      <c r="F151" s="19" t="s">
        <v>208</v>
      </c>
      <c r="G151" s="21"/>
      <c r="H151" s="21"/>
      <c r="I151" s="21"/>
      <c r="J151" s="21" t="s">
        <v>295</v>
      </c>
    </row>
    <row r="152" spans="1:19" ht="30" customHeight="1" x14ac:dyDescent="0.3">
      <c r="A152" s="18">
        <v>45917</v>
      </c>
      <c r="B152" s="40">
        <v>2</v>
      </c>
      <c r="C152" s="20" t="s">
        <v>95</v>
      </c>
      <c r="D152" s="19" t="s">
        <v>209</v>
      </c>
      <c r="E152" s="19"/>
      <c r="F152" s="19" t="s">
        <v>210</v>
      </c>
      <c r="G152" s="21"/>
      <c r="H152" s="21"/>
      <c r="I152" s="21"/>
      <c r="J152" s="21" t="s">
        <v>311</v>
      </c>
    </row>
    <row r="153" spans="1:19" ht="30" customHeight="1" x14ac:dyDescent="0.3">
      <c r="A153" s="18">
        <v>45917</v>
      </c>
      <c r="B153" s="40">
        <v>1</v>
      </c>
      <c r="C153" s="20" t="s">
        <v>47</v>
      </c>
      <c r="D153" s="19" t="s">
        <v>207</v>
      </c>
      <c r="E153" s="19"/>
      <c r="F153" s="19" t="s">
        <v>211</v>
      </c>
      <c r="G153" s="21"/>
      <c r="H153" s="21"/>
      <c r="I153" s="21"/>
      <c r="J153" s="21" t="s">
        <v>295</v>
      </c>
    </row>
    <row r="154" spans="1:19" ht="30" customHeight="1" x14ac:dyDescent="0.3">
      <c r="A154" s="18">
        <v>45923</v>
      </c>
      <c r="B154" s="40">
        <v>1</v>
      </c>
      <c r="C154" s="20" t="s">
        <v>47</v>
      </c>
      <c r="D154" s="19" t="s">
        <v>212</v>
      </c>
      <c r="E154" s="19"/>
      <c r="F154" s="19" t="s">
        <v>213</v>
      </c>
      <c r="G154" s="21"/>
      <c r="H154" s="21"/>
      <c r="I154" s="21"/>
      <c r="J154" s="21" t="s">
        <v>295</v>
      </c>
    </row>
    <row r="155" spans="1:19" ht="30" customHeight="1" x14ac:dyDescent="0.3">
      <c r="A155" s="18">
        <v>45943</v>
      </c>
      <c r="B155" s="40">
        <v>2</v>
      </c>
      <c r="C155" s="20" t="s">
        <v>19</v>
      </c>
      <c r="D155" s="19" t="s">
        <v>188</v>
      </c>
      <c r="E155" s="19"/>
      <c r="F155" s="19" t="s">
        <v>214</v>
      </c>
      <c r="G155" s="19" t="s">
        <v>215</v>
      </c>
      <c r="H155" s="19" t="s">
        <v>215</v>
      </c>
      <c r="I155" s="19" t="s">
        <v>216</v>
      </c>
      <c r="J155" s="21" t="s">
        <v>312</v>
      </c>
    </row>
    <row r="156" spans="1:19" ht="30" customHeight="1" x14ac:dyDescent="0.3">
      <c r="A156" s="18">
        <v>45952</v>
      </c>
      <c r="B156" s="40">
        <v>2</v>
      </c>
      <c r="C156" s="20" t="s">
        <v>19</v>
      </c>
      <c r="D156" s="19" t="s">
        <v>146</v>
      </c>
      <c r="E156" s="19" t="s">
        <v>217</v>
      </c>
      <c r="F156" s="19" t="s">
        <v>218</v>
      </c>
      <c r="G156" s="19" t="s">
        <v>215</v>
      </c>
      <c r="H156" s="19" t="s">
        <v>215</v>
      </c>
      <c r="I156" s="19" t="s">
        <v>216</v>
      </c>
      <c r="J156" s="21" t="s">
        <v>313</v>
      </c>
      <c r="M156" s="24"/>
      <c r="N156" s="25"/>
    </row>
    <row r="157" spans="1:19" ht="30" customHeight="1" x14ac:dyDescent="0.3">
      <c r="A157" s="22">
        <v>45957</v>
      </c>
      <c r="B157" s="40">
        <v>2</v>
      </c>
      <c r="C157" s="20" t="s">
        <v>220</v>
      </c>
      <c r="D157" s="19" t="s">
        <v>221</v>
      </c>
      <c r="E157" s="19" t="s">
        <v>222</v>
      </c>
      <c r="F157" s="19" t="s">
        <v>223</v>
      </c>
      <c r="G157" s="19" t="s">
        <v>216</v>
      </c>
      <c r="H157" s="19" t="s">
        <v>215</v>
      </c>
      <c r="I157" s="19" t="s">
        <v>216</v>
      </c>
      <c r="J157" s="21" t="s">
        <v>295</v>
      </c>
      <c r="M157" s="24"/>
      <c r="N157" s="25"/>
    </row>
    <row r="158" spans="1:19" ht="30" customHeight="1" x14ac:dyDescent="0.3">
      <c r="A158" s="22">
        <v>45960</v>
      </c>
      <c r="B158" s="40">
        <v>1</v>
      </c>
      <c r="C158" s="20" t="s">
        <v>47</v>
      </c>
      <c r="D158" s="19" t="s">
        <v>245</v>
      </c>
      <c r="E158" s="19"/>
      <c r="F158" s="19" t="s">
        <v>224</v>
      </c>
      <c r="G158" s="19" t="s">
        <v>216</v>
      </c>
      <c r="H158" s="19" t="s">
        <v>216</v>
      </c>
      <c r="I158" s="19" t="s">
        <v>216</v>
      </c>
      <c r="J158" s="21" t="s">
        <v>295</v>
      </c>
      <c r="M158" s="24"/>
      <c r="N158" s="25"/>
      <c r="S158" s="26"/>
    </row>
    <row r="159" spans="1:19" ht="30" customHeight="1" x14ac:dyDescent="0.3">
      <c r="A159" s="22">
        <v>45959</v>
      </c>
      <c r="B159" s="40">
        <v>3</v>
      </c>
      <c r="C159" s="20" t="s">
        <v>23</v>
      </c>
      <c r="D159" s="19" t="s">
        <v>225</v>
      </c>
      <c r="E159" s="19" t="s">
        <v>29</v>
      </c>
      <c r="F159" s="19" t="s">
        <v>24</v>
      </c>
      <c r="G159" s="19" t="s">
        <v>216</v>
      </c>
      <c r="H159" s="19" t="s">
        <v>215</v>
      </c>
      <c r="I159" s="19" t="s">
        <v>215</v>
      </c>
      <c r="J159" s="21" t="s">
        <v>226</v>
      </c>
      <c r="M159" s="24"/>
      <c r="N159" s="25"/>
    </row>
    <row r="160" spans="1:19" ht="30" customHeight="1" x14ac:dyDescent="0.3">
      <c r="A160" s="22">
        <v>45965</v>
      </c>
      <c r="B160" s="40">
        <v>2</v>
      </c>
      <c r="C160" s="20" t="s">
        <v>100</v>
      </c>
      <c r="D160" s="19" t="s">
        <v>227</v>
      </c>
      <c r="E160" s="19" t="s">
        <v>228</v>
      </c>
      <c r="F160" s="19"/>
      <c r="G160" s="19" t="s">
        <v>215</v>
      </c>
      <c r="H160" s="19" t="s">
        <v>215</v>
      </c>
      <c r="I160" s="19" t="s">
        <v>216</v>
      </c>
      <c r="J160" s="21" t="s">
        <v>229</v>
      </c>
      <c r="M160" s="24"/>
      <c r="N160" s="25"/>
      <c r="O160" s="27"/>
      <c r="Q160" s="26"/>
    </row>
    <row r="161" spans="1:14" ht="43.2" x14ac:dyDescent="0.3">
      <c r="A161" s="22">
        <v>45973</v>
      </c>
      <c r="B161" s="40">
        <v>3</v>
      </c>
      <c r="C161" s="20" t="s">
        <v>19</v>
      </c>
      <c r="D161" s="19" t="s">
        <v>170</v>
      </c>
      <c r="E161" s="19"/>
      <c r="F161" s="19" t="s">
        <v>230</v>
      </c>
      <c r="G161" s="19" t="s">
        <v>215</v>
      </c>
      <c r="H161" s="19" t="s">
        <v>215</v>
      </c>
      <c r="I161" s="19" t="s">
        <v>216</v>
      </c>
      <c r="J161" s="21" t="s">
        <v>295</v>
      </c>
      <c r="M161" s="24"/>
      <c r="N161" s="28"/>
    </row>
    <row r="162" spans="1:14" ht="30" customHeight="1" x14ac:dyDescent="0.3">
      <c r="A162" s="22">
        <v>45981</v>
      </c>
      <c r="B162" s="40">
        <v>2</v>
      </c>
      <c r="C162" s="20" t="s">
        <v>19</v>
      </c>
      <c r="D162" s="19" t="s">
        <v>188</v>
      </c>
      <c r="E162" s="19"/>
      <c r="F162" s="19" t="s">
        <v>231</v>
      </c>
      <c r="G162" s="19" t="s">
        <v>215</v>
      </c>
      <c r="H162" s="19" t="s">
        <v>215</v>
      </c>
      <c r="I162" s="19" t="s">
        <v>216</v>
      </c>
      <c r="J162" s="21" t="s">
        <v>219</v>
      </c>
      <c r="M162" s="24"/>
      <c r="N162" s="28"/>
    </row>
    <row r="163" spans="1:14" ht="30" customHeight="1" x14ac:dyDescent="0.3">
      <c r="A163" s="22">
        <v>45980</v>
      </c>
      <c r="B163" s="40">
        <v>2</v>
      </c>
      <c r="C163" s="20" t="s">
        <v>145</v>
      </c>
      <c r="D163" s="19" t="s">
        <v>146</v>
      </c>
      <c r="E163" s="19" t="s">
        <v>232</v>
      </c>
      <c r="F163" s="19" t="s">
        <v>233</v>
      </c>
      <c r="G163" s="19" t="s">
        <v>215</v>
      </c>
      <c r="H163" s="19" t="s">
        <v>215</v>
      </c>
      <c r="I163" s="19" t="s">
        <v>216</v>
      </c>
      <c r="J163" s="21" t="s">
        <v>295</v>
      </c>
      <c r="M163" s="24"/>
      <c r="N163" s="28"/>
    </row>
    <row r="164" spans="1:14" ht="30" customHeight="1" x14ac:dyDescent="0.3">
      <c r="A164" s="22">
        <v>45980</v>
      </c>
      <c r="B164" s="40">
        <v>3</v>
      </c>
      <c r="C164" s="20" t="s">
        <v>234</v>
      </c>
      <c r="D164" s="19" t="s">
        <v>207</v>
      </c>
      <c r="E164" s="19" t="s">
        <v>141</v>
      </c>
      <c r="F164" s="19"/>
      <c r="G164" s="19"/>
      <c r="H164" s="19"/>
      <c r="I164" s="19"/>
      <c r="J164" s="21" t="s">
        <v>182</v>
      </c>
      <c r="M164" s="24"/>
      <c r="N164" s="28"/>
    </row>
    <row r="165" spans="1:14" ht="30" customHeight="1" x14ac:dyDescent="0.3">
      <c r="A165" s="22">
        <v>45995</v>
      </c>
      <c r="B165" s="40">
        <v>2</v>
      </c>
      <c r="C165" s="20" t="s">
        <v>148</v>
      </c>
      <c r="D165" s="19" t="s">
        <v>85</v>
      </c>
      <c r="E165" s="19" t="s">
        <v>91</v>
      </c>
      <c r="F165" s="19" t="s">
        <v>235</v>
      </c>
      <c r="G165" s="19"/>
      <c r="H165" s="19" t="s">
        <v>215</v>
      </c>
      <c r="I165" s="19" t="s">
        <v>216</v>
      </c>
      <c r="J165" s="21" t="s">
        <v>295</v>
      </c>
      <c r="M165" s="24"/>
    </row>
    <row r="166" spans="1:14" ht="30" customHeight="1" x14ac:dyDescent="0.3">
      <c r="A166" s="22">
        <v>45999</v>
      </c>
      <c r="B166" s="40">
        <v>2</v>
      </c>
      <c r="C166" s="20" t="s">
        <v>236</v>
      </c>
      <c r="D166" s="19" t="s">
        <v>146</v>
      </c>
      <c r="E166" s="19"/>
      <c r="F166" s="19" t="s">
        <v>237</v>
      </c>
      <c r="G166" s="19" t="s">
        <v>215</v>
      </c>
      <c r="H166" s="19" t="s">
        <v>215</v>
      </c>
      <c r="I166" s="19" t="s">
        <v>216</v>
      </c>
      <c r="J166" s="21" t="s">
        <v>295</v>
      </c>
      <c r="M166" s="24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01D85A9FAD0478126A2B2649C9AB7" ma:contentTypeVersion="19" ma:contentTypeDescription="Create a new document." ma:contentTypeScope="" ma:versionID="e5425b845810d6d78df754af30fd5a4e">
  <xsd:schema xmlns:xsd="http://www.w3.org/2001/XMLSchema" xmlns:xs="http://www.w3.org/2001/XMLSchema" xmlns:p="http://schemas.microsoft.com/office/2006/metadata/properties" xmlns:ns2="a2e177f8-b4cd-4d50-a913-9ba21308313f" xmlns:ns3="d7681a4e-4dc4-4216-b9f4-217c687f6376" targetNamespace="http://schemas.microsoft.com/office/2006/metadata/properties" ma:root="true" ma:fieldsID="965c087548b4d1a024648b66efa40b39" ns2:_="" ns3:_="">
    <xsd:import namespace="a2e177f8-b4cd-4d50-a913-9ba21308313f"/>
    <xsd:import namespace="d7681a4e-4dc4-4216-b9f4-217c687f6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ContactName" minOccurs="0"/>
                <xsd:element ref="ns2:ContactEmail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177f8-b4cd-4d50-a913-9ba2130831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ntactName" ma:index="17" nillable="true" ma:displayName="Contact Name" ma:format="Dropdown" ma:internalName="ContactName">
      <xsd:simpleType>
        <xsd:restriction base="dms:Text">
          <xsd:maxLength value="255"/>
        </xsd:restriction>
      </xsd:simpleType>
    </xsd:element>
    <xsd:element name="ContactEmail" ma:index="18" nillable="true" ma:displayName="Contact Email" ma:format="Dropdown" ma:internalName="ContactEmail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9d194c2-f907-48d4-9ba6-cba7e33b18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81a4e-4dc4-4216-b9f4-217c687f637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4b5195-d8d9-4a39-9417-803e6b4cf071}" ma:internalName="TaxCatchAll" ma:showField="CatchAllData" ma:web="d7681a4e-4dc4-4216-b9f4-217c687f6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actName xmlns="a2e177f8-b4cd-4d50-a913-9ba21308313f" xsi:nil="true"/>
    <ContactEmail xmlns="a2e177f8-b4cd-4d50-a913-9ba21308313f" xsi:nil="true"/>
    <lcf76f155ced4ddcb4097134ff3c332f xmlns="a2e177f8-b4cd-4d50-a913-9ba21308313f">
      <Terms xmlns="http://schemas.microsoft.com/office/infopath/2007/PartnerControls"/>
    </lcf76f155ced4ddcb4097134ff3c332f>
    <TaxCatchAll xmlns="d7681a4e-4dc4-4216-b9f4-217c687f6376" xsi:nil="true"/>
  </documentManagement>
</p:properties>
</file>

<file path=customXml/itemProps1.xml><?xml version="1.0" encoding="utf-8"?>
<ds:datastoreItem xmlns:ds="http://schemas.openxmlformats.org/officeDocument/2006/customXml" ds:itemID="{FA6FBEB1-932E-4917-B057-EC712C7132BC}"/>
</file>

<file path=customXml/itemProps2.xml><?xml version="1.0" encoding="utf-8"?>
<ds:datastoreItem xmlns:ds="http://schemas.openxmlformats.org/officeDocument/2006/customXml" ds:itemID="{25D2FD1E-7B50-4B13-ACA4-F6D883F50F73}"/>
</file>

<file path=customXml/itemProps3.xml><?xml version="1.0" encoding="utf-8"?>
<ds:datastoreItem xmlns:ds="http://schemas.openxmlformats.org/officeDocument/2006/customXml" ds:itemID="{6D084D5E-E07C-4ECF-BB54-A386DA56E1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 &amp; 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Gregory</dc:creator>
  <cp:lastModifiedBy>Mike Gregory</cp:lastModifiedBy>
  <dcterms:created xsi:type="dcterms:W3CDTF">2026-05-12T18:40:14Z</dcterms:created>
  <dcterms:modified xsi:type="dcterms:W3CDTF">2026-05-13T15:37:55Z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0x01010034D01D85A9FAD0478126A2B2649C9AB7</vt:lpwstr>
  </property>
</Properties>
</file>